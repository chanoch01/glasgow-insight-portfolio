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Monthly Report" sheetId="3" state="visible" r:id="rId5"/>
    <sheet name="Annual Summary" sheetId="4" state="visible" r:id="rId6"/>
  </sheets>
  <definedNames>
    <definedName function="false" hidden="true" localSheetId="2" name="_xlnm._FilterDatabase" vbProcedure="false">'Monthly Report'!$A$1:$H$361</definedName>
    <definedName function="false" hidden="true" localSheetId="1" name="_xlnm._FilterDatabase" vbProcedure="false">'Raw Data'!$A$1:$I$361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<sst xmlns="http://schemas.openxmlformats.org/spreadsheetml/2006/main" count="1926" uniqueCount="112">
  <si>
    <t xml:space="preserve">Glasgow Air Quality - Monthly Reporting Pack</t>
  </si>
  <si>
    <t xml:space="preserve">Personal portfolio project built on public data. Calibrated to published Glasgow air quality facts.</t>
  </si>
  <si>
    <t xml:space="preserve">PURPOSE</t>
  </si>
  <si>
    <t xml:space="preserve">A repeatable monthly pack for the Neighbourhoods, Regeneration and Sustainability team. It turns raw</t>
  </si>
  <si>
    <t xml:space="preserve">monitoring readings into a clean report with automatic exceedance flags against the statutory objectives,</t>
  </si>
  <si>
    <t xml:space="preserve">so officers can see at a glance which sites are compliant and where attention is needed.</t>
  </si>
  <si>
    <t xml:space="preserve">DATA SOURCE</t>
  </si>
  <si>
    <t xml:space="preserve">Monitoring sites are mapped to Glasgow's real Air Quality Management Areas (City Centre, Byres Road /</t>
  </si>
  <si>
    <t xml:space="preserve">Dumbarton Road, Parkhead Cross) from the council's open AQMA layer. Monthly values are modelled to a</t>
  </si>
  <si>
    <t xml:space="preserve">plausible seasonal pattern and calibrated to public facts: roadside NO2 fell about 34% into 2024 after the</t>
  </si>
  <si>
    <t xml:space="preserve">Low Emission Zone phase 2 began on 1 June 2024, and the city reached full statutory compliance in 2024 for</t>
  </si>
  <si>
    <t xml:space="preserve">the first time in about 30 years. They are not raw council readings.</t>
  </si>
  <si>
    <t xml:space="preserve">OBJECTIVES USED FOR FLAGS</t>
  </si>
  <si>
    <t xml:space="preserve">NO2 annual mean objective: 40 ug/m3.</t>
  </si>
  <si>
    <t xml:space="preserve">PM10 Scotland annual mean objective: 18 ug/m3.</t>
  </si>
  <si>
    <t xml:space="preserve">Amber warning band is set at 90% of the objective so a site trending towards breach is caught early.</t>
  </si>
  <si>
    <t xml:space="preserve">POWER QUERY STEPS (how the Raw Data sheet would be shaped in a live build)</t>
  </si>
  <si>
    <t xml:space="preserve">1. Source: connect to the council monitoring export (CSV or SharePoint folder of monthly files).</t>
  </si>
  <si>
    <t xml:space="preserve">2. Promote headers, set data types (Year and Month as whole number, mean as decimal).</t>
  </si>
  <si>
    <t xml:space="preserve">3. Trim and clean Site and AQMA text, remove fully blank rows.</t>
  </si>
  <si>
    <t xml:space="preserve">4. Add a Period column (Year and Month as yyyy-mm) for sorting and joins.</t>
  </si>
  <si>
    <t xml:space="preserve">5. Filter out rows with data capture below 75% so low-quality months do not skew the mean.</t>
  </si>
  <si>
    <t xml:space="preserve">6. Append new monthly files automatically by pointing the query at a folder, then Refresh.</t>
  </si>
  <si>
    <t xml:space="preserve">The Monthly Report and Annual Summary sheets read from this table, so a Refresh updates the whole pack.</t>
  </si>
  <si>
    <t xml:space="preserve">SHEETS</t>
  </si>
  <si>
    <t xml:space="preserve">Raw Data        - the monitoring readings, one row per site, pollutant and month.</t>
  </si>
  <si>
    <t xml:space="preserve">Monthly Report  - each reading with a live status flag (Compliant / Watch / Exceedance).</t>
  </si>
  <si>
    <t xml:space="preserve">Annual Summary  - annual mean per site and year, compliance status, and headline KPIs.</t>
  </si>
  <si>
    <t xml:space="preserve">HEADLINE INSIGHT</t>
  </si>
  <si>
    <t xml:space="preserve">Hope Street, the worst kerbside NO2 site, falls from about 53 ug/m3 in 2022 to about 35 in 2024, crossing</t>
  </si>
  <si>
    <t xml:space="preserve">below the 40 objective. Every monitored site is compliant on the annual mean by 2024, matching Glasgow's</t>
  </si>
  <si>
    <t xml:space="preserve">reported first full statutory compliance in roughly three decades.</t>
  </si>
  <si>
    <t xml:space="preserve">Year</t>
  </si>
  <si>
    <t xml:space="preserve">Month</t>
  </si>
  <si>
    <t xml:space="preserve">Period</t>
  </si>
  <si>
    <t xml:space="preserve">Site</t>
  </si>
  <si>
    <t xml:space="preserve">AQMA</t>
  </si>
  <si>
    <t xml:space="preserve">Pollutant</t>
  </si>
  <si>
    <t xml:space="preserve">Monitor type</t>
  </si>
  <si>
    <t xml:space="preserve">Monthly mean (ug/m3)</t>
  </si>
  <si>
    <t xml:space="preserve">Data capture (%)</t>
  </si>
  <si>
    <t xml:space="preserve">2022-01</t>
  </si>
  <si>
    <t xml:space="preserve">Hope Street (kerbside)</t>
  </si>
  <si>
    <t xml:space="preserve">City Centre</t>
  </si>
  <si>
    <t xml:space="preserve">NO2</t>
  </si>
  <si>
    <t xml:space="preserve">Continuous</t>
  </si>
  <si>
    <t xml:space="preserve">North Street</t>
  </si>
  <si>
    <t xml:space="preserve">Diffusion</t>
  </si>
  <si>
    <t xml:space="preserve">Royston Road</t>
  </si>
  <si>
    <t xml:space="preserve">Dumbarton Road</t>
  </si>
  <si>
    <t xml:space="preserve">Byres Road/Dumbarton Road</t>
  </si>
  <si>
    <t xml:space="preserve">Byres Road</t>
  </si>
  <si>
    <t xml:space="preserve">Parkhead Cross</t>
  </si>
  <si>
    <t xml:space="preserve">PM10</t>
  </si>
  <si>
    <t xml:space="preserve">Townhead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</si>
  <si>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</si>
  <si>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</si>
  <si>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</si>
  <si>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</si>
  <si>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</si>
  <si>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</si>
  <si>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</si>
  <si>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</si>
  <si>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</si>
  <si>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</si>
  <si>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</si>
  <si>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</si>
  <si>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</si>
  <si>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</si>
  <si>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</si>
  <si>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</si>
  <si>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</si>
  <si>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</si>
  <si>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</si>
  <si>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</si>
  <si>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</si>
  <si>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</si>
  <si>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</si>
  <si>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</si>
  <si>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</si>
  <si>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</si>
  <si>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</si>
  <si>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</si>
  <si>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</si>
  <si>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</si>
  <si>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</si>
  <si>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</si>
  <si>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</si>
  <si>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</si>
  <si>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</si>
  <si>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</si>
  <si>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</si>
  <si>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</si>
  <si>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</si>
  <si>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</si>
  <si>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</si>
  <si>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</si>
  <si>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</si>
  <si>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</si>
  <si>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Objective (ug/m3)</t>
  </si>
  <si>
    <t xml:space="preserve">% of objective</t>
  </si>
  <si>
    <t xml:space="preserve">Status</t>
  </si>
  <si>
    <t xml:space="preserve">Annual Summary - mean concentration and compliance by site and year</t>
  </si>
  <si>
    <t xml:space="preserve">Annual mean (ug/m3)</t>
  </si>
  <si>
    <t xml:space="preserve">Objective</t>
  </si>
  <si>
    <t xml:space="preserve">Compliant?</t>
  </si>
  <si>
    <t xml:space="preserve">Headline KPIs</t>
  </si>
  <si>
    <t xml:space="preserve">Sites breaching NO2 objective, 2024</t>
  </si>
  <si>
    <t xml:space="preserve">Sites breaching NO2 objective, 2022</t>
  </si>
  <si>
    <t xml:space="preserve">Hope Street NO2 mean, 2022 (ug/m3)</t>
  </si>
  <si>
    <t xml:space="preserve">Hope Street NO2 mean, 2024 (ug/m3)</t>
  </si>
  <si>
    <t xml:space="preserve">NO2 reduction at Hope St, 2022 to 2024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</si>
</sst>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%"/>
    <numFmt numFmtId="168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sz val="10"/>
      <color rgb="FF333333"/>
      <name val="Cambria"/>
      <family val="0"/>
      <charset val="1"/>
    </font>
    <font>
      <b val="true"/>
      <sz val="11"/>
      <color rgb="FF01696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169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BD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6EB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BD6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3" t="s">
        <v>21</v>
      </c>
    </row>
    <row r="29" customFormat="false" ht="15" hidden="false" customHeight="false" outlineLevel="0" collapsed="false">
      <c r="B29" s="3" t="s">
        <v>22</v>
      </c>
    </row>
    <row r="30" customFormat="false" ht="15" hidden="false" customHeight="false" outlineLevel="0" collapsed="false">
      <c r="B30" s="3" t="s">
        <v>23</v>
      </c>
    </row>
    <row r="31" customFormat="false" ht="15" hidden="false" customHeight="false" outlineLevel="0" collapsed="false">
      <c r="B31" s="3"/>
    </row>
    <row r="32" customFormat="false" ht="15" hidden="false" customHeight="false" outlineLevel="0" collapsed="false">
      <c r="B32" s="4" t="s">
        <v>24</v>
      </c>
    </row>
    <row r="33" customFormat="false" ht="15" hidden="false" customHeight="false" outlineLevel="0" collapsed="false">
      <c r="B33" s="3" t="s">
        <v>25</v>
      </c>
    </row>
    <row r="34" customFormat="false" ht="15" hidden="false" customHeight="false" outlineLevel="0" collapsed="false">
      <c r="B34" s="3" t="s">
        <v>26</v>
      </c>
    </row>
    <row r="35" customFormat="false" ht="15" hidden="false" customHeight="false" outlineLevel="0" collapsed="false">
      <c r="B35" s="3" t="s">
        <v>27</v>
      </c>
    </row>
    <row r="36" customFormat="false" ht="15" hidden="false" customHeight="false" outlineLevel="0" collapsed="false">
      <c r="B36" s="3"/>
    </row>
    <row r="37" customFormat="false" ht="15" hidden="false" customHeight="false" outlineLevel="0" collapsed="false">
      <c r="B37" s="4" t="s">
        <v>28</v>
      </c>
    </row>
    <row r="38" customFormat="false" ht="15" hidden="false" customHeight="false" outlineLevel="0" collapsed="false">
      <c r="B38" s="3" t="s">
        <v>29</v>
      </c>
    </row>
    <row r="39" customFormat="false" ht="15" hidden="false" customHeight="false" outlineLevel="0" collapsed="false">
      <c r="B39" s="3" t="s">
        <v>30</v>
      </c>
    </row>
    <row r="40" customFormat="false" ht="15" hidden="false" customHeight="false" outlineLevel="0" collapsed="false">
      <c r="B40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</row>
    <row r="2" customFormat="false" ht="15" hidden="false" customHeight="false" outlineLevel="0" collapsed="false">
      <c r="A2" s="0" t="n">
        <v>2022</v>
      </c>
      <c r="B2" s="0" t="n">
        <v>1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  <c r="H2" s="6" t="n">
        <v>62.2</v>
      </c>
      <c r="I2" s="6" t="n">
        <v>95.1</v>
      </c>
    </row>
    <row r="3" customFormat="false" ht="15" hidden="false" customHeight="false" outlineLevel="0" collapsed="false">
      <c r="A3" s="0" t="n">
        <v>2022</v>
      </c>
      <c r="B3" s="0" t="n">
        <v>1</v>
      </c>
      <c r="C3" s="0" t="s">
        <v>41</v>
      </c>
      <c r="D3" s="0" t="s">
        <v>46</v>
      </c>
      <c r="E3" s="0" t="s">
        <v>43</v>
      </c>
      <c r="F3" s="0" t="s">
        <v>44</v>
      </c>
      <c r="G3" s="0" t="s">
        <v>47</v>
      </c>
      <c r="H3" s="6" t="n">
        <v>53.1</v>
      </c>
      <c r="I3" s="6" t="n">
        <v>100</v>
      </c>
    </row>
    <row r="4" customFormat="false" ht="15" hidden="false" customHeight="false" outlineLevel="0" collapsed="false">
      <c r="A4" s="0" t="n">
        <v>2022</v>
      </c>
      <c r="B4" s="0" t="n">
        <v>1</v>
      </c>
      <c r="C4" s="0" t="s">
        <v>41</v>
      </c>
      <c r="D4" s="0" t="s">
        <v>48</v>
      </c>
      <c r="E4" s="0" t="s">
        <v>43</v>
      </c>
      <c r="F4" s="0" t="s">
        <v>44</v>
      </c>
      <c r="G4" s="0" t="s">
        <v>47</v>
      </c>
      <c r="H4" s="6" t="n">
        <v>47</v>
      </c>
      <c r="I4" s="6" t="n">
        <v>100</v>
      </c>
    </row>
    <row r="5" customFormat="false" ht="15" hidden="false" customHeight="false" outlineLevel="0" collapsed="false">
      <c r="A5" s="0" t="n">
        <v>2022</v>
      </c>
      <c r="B5" s="0" t="n">
        <v>1</v>
      </c>
      <c r="C5" s="0" t="s">
        <v>41</v>
      </c>
      <c r="D5" s="0" t="s">
        <v>49</v>
      </c>
      <c r="E5" s="0" t="s">
        <v>50</v>
      </c>
      <c r="F5" s="0" t="s">
        <v>44</v>
      </c>
      <c r="G5" s="0" t="s">
        <v>47</v>
      </c>
      <c r="H5" s="6" t="n">
        <v>51.9</v>
      </c>
      <c r="I5" s="6" t="n">
        <v>100</v>
      </c>
    </row>
    <row r="6" customFormat="false" ht="15" hidden="false" customHeight="false" outlineLevel="0" collapsed="false">
      <c r="A6" s="0" t="n">
        <v>2022</v>
      </c>
      <c r="B6" s="0" t="n">
        <v>1</v>
      </c>
      <c r="C6" s="0" t="s">
        <v>41</v>
      </c>
      <c r="D6" s="0" t="s">
        <v>51</v>
      </c>
      <c r="E6" s="0" t="s">
        <v>50</v>
      </c>
      <c r="F6" s="0" t="s">
        <v>44</v>
      </c>
      <c r="G6" s="0" t="s">
        <v>47</v>
      </c>
      <c r="H6" s="6" t="n">
        <v>46.8</v>
      </c>
      <c r="I6" s="6" t="n">
        <v>100</v>
      </c>
    </row>
    <row r="7" customFormat="false" ht="15" hidden="false" customHeight="false" outlineLevel="0" collapsed="false">
      <c r="A7" s="0" t="n">
        <v>2022</v>
      </c>
      <c r="B7" s="0" t="n">
        <v>1</v>
      </c>
      <c r="C7" s="0" t="s">
        <v>41</v>
      </c>
      <c r="D7" s="0" t="s">
        <v>52</v>
      </c>
      <c r="E7" s="0" t="s">
        <v>52</v>
      </c>
      <c r="F7" s="0" t="s">
        <v>44</v>
      </c>
      <c r="G7" s="0" t="s">
        <v>47</v>
      </c>
      <c r="H7" s="6" t="n">
        <v>51.5</v>
      </c>
      <c r="I7" s="6" t="n">
        <v>100</v>
      </c>
    </row>
    <row r="8" customFormat="false" ht="15" hidden="false" customHeight="false" outlineLevel="0" collapsed="false">
      <c r="A8" s="0" t="n">
        <v>2022</v>
      </c>
      <c r="B8" s="0" t="n">
        <v>1</v>
      </c>
      <c r="C8" s="0" t="s">
        <v>41</v>
      </c>
      <c r="D8" s="0" t="s">
        <v>42</v>
      </c>
      <c r="E8" s="0" t="s">
        <v>43</v>
      </c>
      <c r="F8" s="0" t="s">
        <v>53</v>
      </c>
      <c r="G8" s="0" t="s">
        <v>45</v>
      </c>
      <c r="H8" s="6" t="n">
        <v>21.5</v>
      </c>
      <c r="I8" s="6" t="n">
        <v>97.1</v>
      </c>
    </row>
    <row r="9" customFormat="false" ht="15" hidden="false" customHeight="false" outlineLevel="0" collapsed="false">
      <c r="A9" s="0" t="n">
        <v>2022</v>
      </c>
      <c r="B9" s="0" t="n">
        <v>1</v>
      </c>
      <c r="C9" s="0" t="s">
        <v>41</v>
      </c>
      <c r="D9" s="0" t="s">
        <v>54</v>
      </c>
      <c r="E9" s="0" t="s">
        <v>43</v>
      </c>
      <c r="F9" s="0" t="s">
        <v>53</v>
      </c>
      <c r="G9" s="0" t="s">
        <v>45</v>
      </c>
      <c r="H9" s="6" t="n">
        <v>18</v>
      </c>
      <c r="I9" s="6" t="n">
        <v>96.1</v>
      </c>
    </row>
    <row r="10" customFormat="false" ht="15" hidden="false" customHeight="false" outlineLevel="0" collapsed="false">
      <c r="A10" s="0" t="n">
        <v>2022</v>
      </c>
      <c r="B10" s="0" t="n">
        <v>2</v>
      </c>
      <c r="C10" s="0" t="s">
        <v>55</v>
      </c>
      <c r="D10" s="0" t="s">
        <v>42</v>
      </c>
      <c r="E10" s="0" t="s">
        <v>43</v>
      </c>
      <c r="F10" s="0" t="s">
        <v>44</v>
      </c>
      <c r="G10" s="0" t="s">
        <v>45</v>
      </c>
      <c r="H10" s="6" t="n">
        <v>59.3</v>
      </c>
      <c r="I10" s="6" t="n">
        <v>95.1</v>
      </c>
    </row>
    <row r="11" customFormat="false" ht="15" hidden="false" customHeight="false" outlineLevel="0" collapsed="false">
      <c r="A11" s="0" t="n">
        <v>2022</v>
      </c>
      <c r="B11" s="0" t="n">
        <v>2</v>
      </c>
      <c r="C11" s="0" t="s">
        <v>55</v>
      </c>
      <c r="D11" s="0" t="s">
        <v>46</v>
      </c>
      <c r="E11" s="0" t="s">
        <v>43</v>
      </c>
      <c r="F11" s="0" t="s">
        <v>44</v>
      </c>
      <c r="G11" s="0" t="s">
        <v>47</v>
      </c>
      <c r="H11" s="6" t="n">
        <v>50.9</v>
      </c>
      <c r="I11" s="6" t="n">
        <v>100</v>
      </c>
    </row>
    <row r="12" customFormat="false" ht="15" hidden="false" customHeight="false" outlineLevel="0" collapsed="false">
      <c r="A12" s="0" t="n">
        <v>2022</v>
      </c>
      <c r="B12" s="0" t="n">
        <v>2</v>
      </c>
      <c r="C12" s="0" t="s">
        <v>55</v>
      </c>
      <c r="D12" s="0" t="s">
        <v>48</v>
      </c>
      <c r="E12" s="0" t="s">
        <v>43</v>
      </c>
      <c r="F12" s="0" t="s">
        <v>44</v>
      </c>
      <c r="G12" s="0" t="s">
        <v>47</v>
      </c>
      <c r="H12" s="6" t="n">
        <v>47.4</v>
      </c>
      <c r="I12" s="6" t="n">
        <v>100</v>
      </c>
    </row>
    <row r="13" customFormat="false" ht="15" hidden="false" customHeight="false" outlineLevel="0" collapsed="false">
      <c r="A13" s="0" t="n">
        <v>2022</v>
      </c>
      <c r="B13" s="0" t="n">
        <v>2</v>
      </c>
      <c r="C13" s="0" t="s">
        <v>55</v>
      </c>
      <c r="D13" s="0" t="s">
        <v>49</v>
      </c>
      <c r="E13" s="0" t="s">
        <v>50</v>
      </c>
      <c r="F13" s="0" t="s">
        <v>44</v>
      </c>
      <c r="G13" s="0" t="s">
        <v>47</v>
      </c>
      <c r="H13" s="6" t="n">
        <v>49.2</v>
      </c>
      <c r="I13" s="6" t="n">
        <v>100</v>
      </c>
    </row>
    <row r="14" customFormat="false" ht="15" hidden="false" customHeight="false" outlineLevel="0" collapsed="false">
      <c r="A14" s="0" t="n">
        <v>2022</v>
      </c>
      <c r="B14" s="0" t="n">
        <v>2</v>
      </c>
      <c r="C14" s="0" t="s">
        <v>55</v>
      </c>
      <c r="D14" s="0" t="s">
        <v>51</v>
      </c>
      <c r="E14" s="0" t="s">
        <v>50</v>
      </c>
      <c r="F14" s="0" t="s">
        <v>44</v>
      </c>
      <c r="G14" s="0" t="s">
        <v>47</v>
      </c>
      <c r="H14" s="6" t="n">
        <v>43.2</v>
      </c>
      <c r="I14" s="6" t="n">
        <v>100</v>
      </c>
    </row>
    <row r="15" customFormat="false" ht="15" hidden="false" customHeight="false" outlineLevel="0" collapsed="false">
      <c r="A15" s="0" t="n">
        <v>2022</v>
      </c>
      <c r="B15" s="0" t="n">
        <v>2</v>
      </c>
      <c r="C15" s="0" t="s">
        <v>55</v>
      </c>
      <c r="D15" s="0" t="s">
        <v>52</v>
      </c>
      <c r="E15" s="0" t="s">
        <v>52</v>
      </c>
      <c r="F15" s="0" t="s">
        <v>44</v>
      </c>
      <c r="G15" s="0" t="s">
        <v>47</v>
      </c>
      <c r="H15" s="6" t="n">
        <v>48.3</v>
      </c>
      <c r="I15" s="6" t="n">
        <v>100</v>
      </c>
    </row>
    <row r="16" customFormat="false" ht="15" hidden="false" customHeight="false" outlineLevel="0" collapsed="false">
      <c r="A16" s="0" t="n">
        <v>2022</v>
      </c>
      <c r="B16" s="0" t="n">
        <v>2</v>
      </c>
      <c r="C16" s="0" t="s">
        <v>55</v>
      </c>
      <c r="D16" s="0" t="s">
        <v>42</v>
      </c>
      <c r="E16" s="0" t="s">
        <v>43</v>
      </c>
      <c r="F16" s="0" t="s">
        <v>53</v>
      </c>
      <c r="G16" s="0" t="s">
        <v>45</v>
      </c>
      <c r="H16" s="6" t="n">
        <v>22.3</v>
      </c>
      <c r="I16" s="6" t="n">
        <v>95</v>
      </c>
    </row>
    <row r="17" customFormat="false" ht="15" hidden="false" customHeight="false" outlineLevel="0" collapsed="false">
      <c r="A17" s="0" t="n">
        <v>2022</v>
      </c>
      <c r="B17" s="0" t="n">
        <v>2</v>
      </c>
      <c r="C17" s="0" t="s">
        <v>55</v>
      </c>
      <c r="D17" s="0" t="s">
        <v>54</v>
      </c>
      <c r="E17" s="0" t="s">
        <v>43</v>
      </c>
      <c r="F17" s="0" t="s">
        <v>53</v>
      </c>
      <c r="G17" s="0" t="s">
        <v>45</v>
      </c>
      <c r="H17" s="6" t="n">
        <v>18.8</v>
      </c>
      <c r="I17" s="6" t="n">
        <v>98.5</v>
      </c>
    </row>
    <row r="18" customFormat="false" ht="15" hidden="false" customHeight="false" outlineLevel="0" collapsed="false">
      <c r="A18" s="0" t="n">
        <v>2022</v>
      </c>
      <c r="B18" s="0" t="n">
        <v>3</v>
      </c>
      <c r="C18" s="0" t="s">
        <v>56</v>
      </c>
      <c r="D18" s="0" t="s">
        <v>42</v>
      </c>
      <c r="E18" s="0" t="s">
        <v>43</v>
      </c>
      <c r="F18" s="0" t="s">
        <v>44</v>
      </c>
      <c r="G18" s="0" t="s">
        <v>45</v>
      </c>
      <c r="H18" s="6" t="n">
        <v>53.7</v>
      </c>
      <c r="I18" s="6" t="n">
        <v>95.8</v>
      </c>
    </row>
    <row r="19" customFormat="false" ht="15" hidden="false" customHeight="false" outlineLevel="0" collapsed="false">
      <c r="A19" s="0" t="n">
        <v>2022</v>
      </c>
      <c r="B19" s="0" t="n">
        <v>3</v>
      </c>
      <c r="C19" s="0" t="s">
        <v>56</v>
      </c>
      <c r="D19" s="0" t="s">
        <v>46</v>
      </c>
      <c r="E19" s="0" t="s">
        <v>43</v>
      </c>
      <c r="F19" s="0" t="s">
        <v>44</v>
      </c>
      <c r="G19" s="0" t="s">
        <v>47</v>
      </c>
      <c r="H19" s="6" t="n">
        <v>50.5</v>
      </c>
      <c r="I19" s="6" t="n">
        <v>100</v>
      </c>
    </row>
    <row r="20" customFormat="false" ht="15" hidden="false" customHeight="false" outlineLevel="0" collapsed="false">
      <c r="A20" s="0" t="n">
        <v>2022</v>
      </c>
      <c r="B20" s="0" t="n">
        <v>3</v>
      </c>
      <c r="C20" s="0" t="s">
        <v>56</v>
      </c>
      <c r="D20" s="0" t="s">
        <v>48</v>
      </c>
      <c r="E20" s="0" t="s">
        <v>43</v>
      </c>
      <c r="F20" s="0" t="s">
        <v>44</v>
      </c>
      <c r="G20" s="0" t="s">
        <v>47</v>
      </c>
      <c r="H20" s="6" t="n">
        <v>42.3</v>
      </c>
      <c r="I20" s="6" t="n">
        <v>100</v>
      </c>
    </row>
    <row r="21" customFormat="false" ht="15" hidden="false" customHeight="false" outlineLevel="0" collapsed="false">
      <c r="A21" s="0" t="n">
        <v>2022</v>
      </c>
      <c r="B21" s="0" t="n">
        <v>3</v>
      </c>
      <c r="C21" s="0" t="s">
        <v>56</v>
      </c>
      <c r="D21" s="0" t="s">
        <v>49</v>
      </c>
      <c r="E21" s="0" t="s">
        <v>50</v>
      </c>
      <c r="F21" s="0" t="s">
        <v>44</v>
      </c>
      <c r="G21" s="0" t="s">
        <v>47</v>
      </c>
      <c r="H21" s="6" t="n">
        <v>43.3</v>
      </c>
      <c r="I21" s="6" t="n">
        <v>100</v>
      </c>
    </row>
    <row r="22" customFormat="false" ht="15" hidden="false" customHeight="false" outlineLevel="0" collapsed="false">
      <c r="A22" s="0" t="n">
        <v>2022</v>
      </c>
      <c r="B22" s="0" t="n">
        <v>3</v>
      </c>
      <c r="C22" s="0" t="s">
        <v>56</v>
      </c>
      <c r="D22" s="0" t="s">
        <v>51</v>
      </c>
      <c r="E22" s="0" t="s">
        <v>50</v>
      </c>
      <c r="F22" s="0" t="s">
        <v>44</v>
      </c>
      <c r="G22" s="0" t="s">
        <v>47</v>
      </c>
      <c r="H22" s="6" t="n">
        <v>39.3</v>
      </c>
      <c r="I22" s="6" t="n">
        <v>100</v>
      </c>
    </row>
    <row r="23" customFormat="false" ht="15" hidden="false" customHeight="false" outlineLevel="0" collapsed="false">
      <c r="A23" s="0" t="n">
        <v>2022</v>
      </c>
      <c r="B23" s="0" t="n">
        <v>3</v>
      </c>
      <c r="C23" s="0" t="s">
        <v>56</v>
      </c>
      <c r="D23" s="0" t="s">
        <v>52</v>
      </c>
      <c r="E23" s="0" t="s">
        <v>52</v>
      </c>
      <c r="F23" s="0" t="s">
        <v>44</v>
      </c>
      <c r="G23" s="0" t="s">
        <v>47</v>
      </c>
      <c r="H23" s="6" t="n">
        <v>45.6</v>
      </c>
      <c r="I23" s="6" t="n">
        <v>100</v>
      </c>
    </row>
    <row r="24" customFormat="false" ht="15" hidden="false" customHeight="false" outlineLevel="0" collapsed="false">
      <c r="A24" s="0" t="n">
        <v>2022</v>
      </c>
      <c r="B24" s="0" t="n">
        <v>3</v>
      </c>
      <c r="C24" s="0" t="s">
        <v>56</v>
      </c>
      <c r="D24" s="0" t="s">
        <v>42</v>
      </c>
      <c r="E24" s="0" t="s">
        <v>43</v>
      </c>
      <c r="F24" s="0" t="s">
        <v>53</v>
      </c>
      <c r="G24" s="0" t="s">
        <v>45</v>
      </c>
      <c r="H24" s="6" t="n">
        <v>20.2</v>
      </c>
      <c r="I24" s="6" t="n">
        <v>99</v>
      </c>
    </row>
    <row r="25" customFormat="false" ht="15" hidden="false" customHeight="false" outlineLevel="0" collapsed="false">
      <c r="A25" s="0" t="n">
        <v>2022</v>
      </c>
      <c r="B25" s="0" t="n">
        <v>3</v>
      </c>
      <c r="C25" s="0" t="s">
        <v>56</v>
      </c>
      <c r="D25" s="0" t="s">
        <v>54</v>
      </c>
      <c r="E25" s="0" t="s">
        <v>43</v>
      </c>
      <c r="F25" s="0" t="s">
        <v>53</v>
      </c>
      <c r="G25" s="0" t="s">
        <v>45</v>
      </c>
      <c r="H25" s="6" t="n">
        <v>17.2</v>
      </c>
      <c r="I25" s="6" t="n">
        <v>97.7</v>
      </c>
    </row>
    <row r="26" customFormat="false" ht="15" hidden="false" customHeight="false" outlineLevel="0" collapsed="false">
      <c r="A26" s="0" t="n">
        <v>2022</v>
      </c>
      <c r="B26" s="0" t="n">
        <v>4</v>
      </c>
      <c r="C26" s="0" t="s">
        <v>57</v>
      </c>
      <c r="D26" s="0" t="s">
        <v>42</v>
      </c>
      <c r="E26" s="0" t="s">
        <v>43</v>
      </c>
      <c r="F26" s="0" t="s">
        <v>44</v>
      </c>
      <c r="G26" s="0" t="s">
        <v>45</v>
      </c>
      <c r="H26" s="6" t="n">
        <v>52.8</v>
      </c>
      <c r="I26" s="6" t="n">
        <v>96.9</v>
      </c>
    </row>
    <row r="27" customFormat="false" ht="15" hidden="false" customHeight="false" outlineLevel="0" collapsed="false">
      <c r="A27" s="0" t="n">
        <v>2022</v>
      </c>
      <c r="B27" s="0" t="n">
        <v>4</v>
      </c>
      <c r="C27" s="0" t="s">
        <v>57</v>
      </c>
      <c r="D27" s="0" t="s">
        <v>46</v>
      </c>
      <c r="E27" s="0" t="s">
        <v>43</v>
      </c>
      <c r="F27" s="0" t="s">
        <v>44</v>
      </c>
      <c r="G27" s="0" t="s">
        <v>47</v>
      </c>
      <c r="H27" s="6" t="n">
        <v>44.9</v>
      </c>
      <c r="I27" s="6" t="n">
        <v>100</v>
      </c>
    </row>
    <row r="28" customFormat="false" ht="15" hidden="false" customHeight="false" outlineLevel="0" collapsed="false">
      <c r="A28" s="0" t="n">
        <v>2022</v>
      </c>
      <c r="B28" s="0" t="n">
        <v>4</v>
      </c>
      <c r="C28" s="0" t="s">
        <v>57</v>
      </c>
      <c r="D28" s="0" t="s">
        <v>48</v>
      </c>
      <c r="E28" s="0" t="s">
        <v>43</v>
      </c>
      <c r="F28" s="0" t="s">
        <v>44</v>
      </c>
      <c r="G28" s="0" t="s">
        <v>47</v>
      </c>
      <c r="H28" s="6" t="n">
        <v>41.1</v>
      </c>
      <c r="I28" s="6" t="n">
        <v>100</v>
      </c>
    </row>
    <row r="29" customFormat="false" ht="15" hidden="false" customHeight="false" outlineLevel="0" collapsed="false">
      <c r="A29" s="0" t="n">
        <v>2022</v>
      </c>
      <c r="B29" s="0" t="n">
        <v>4</v>
      </c>
      <c r="C29" s="0" t="s">
        <v>57</v>
      </c>
      <c r="D29" s="0" t="s">
        <v>49</v>
      </c>
      <c r="E29" s="0" t="s">
        <v>50</v>
      </c>
      <c r="F29" s="0" t="s">
        <v>44</v>
      </c>
      <c r="G29" s="0" t="s">
        <v>47</v>
      </c>
      <c r="H29" s="6" t="n">
        <v>42.2</v>
      </c>
      <c r="I29" s="6" t="n">
        <v>100</v>
      </c>
    </row>
    <row r="30" customFormat="false" ht="15" hidden="false" customHeight="false" outlineLevel="0" collapsed="false">
      <c r="A30" s="0" t="n">
        <v>2022</v>
      </c>
      <c r="B30" s="0" t="n">
        <v>4</v>
      </c>
      <c r="C30" s="0" t="s">
        <v>57</v>
      </c>
      <c r="D30" s="0" t="s">
        <v>51</v>
      </c>
      <c r="E30" s="0" t="s">
        <v>50</v>
      </c>
      <c r="F30" s="0" t="s">
        <v>44</v>
      </c>
      <c r="G30" s="0" t="s">
        <v>47</v>
      </c>
      <c r="H30" s="6" t="n">
        <v>39.2</v>
      </c>
      <c r="I30" s="6" t="n">
        <v>100</v>
      </c>
    </row>
    <row r="31" customFormat="false" ht="15" hidden="false" customHeight="false" outlineLevel="0" collapsed="false">
      <c r="A31" s="0" t="n">
        <v>2022</v>
      </c>
      <c r="B31" s="0" t="n">
        <v>4</v>
      </c>
      <c r="C31" s="0" t="s">
        <v>57</v>
      </c>
      <c r="D31" s="0" t="s">
        <v>52</v>
      </c>
      <c r="E31" s="0" t="s">
        <v>52</v>
      </c>
      <c r="F31" s="0" t="s">
        <v>44</v>
      </c>
      <c r="G31" s="0" t="s">
        <v>47</v>
      </c>
      <c r="H31" s="6" t="n">
        <v>41.1</v>
      </c>
      <c r="I31" s="6" t="n">
        <v>100</v>
      </c>
    </row>
    <row r="32" customFormat="false" ht="15" hidden="false" customHeight="false" outlineLevel="0" collapsed="false">
      <c r="A32" s="0" t="n">
        <v>2022</v>
      </c>
      <c r="B32" s="0" t="n">
        <v>4</v>
      </c>
      <c r="C32" s="0" t="s">
        <v>57</v>
      </c>
      <c r="D32" s="0" t="s">
        <v>42</v>
      </c>
      <c r="E32" s="0" t="s">
        <v>43</v>
      </c>
      <c r="F32" s="0" t="s">
        <v>53</v>
      </c>
      <c r="G32" s="0" t="s">
        <v>45</v>
      </c>
      <c r="H32" s="6" t="n">
        <v>18.8</v>
      </c>
      <c r="I32" s="6" t="n">
        <v>95.2</v>
      </c>
    </row>
    <row r="33" customFormat="false" ht="15" hidden="false" customHeight="false" outlineLevel="0" collapsed="false">
      <c r="A33" s="0" t="n">
        <v>2022</v>
      </c>
      <c r="B33" s="0" t="n">
        <v>4</v>
      </c>
      <c r="C33" s="0" t="s">
        <v>57</v>
      </c>
      <c r="D33" s="0" t="s">
        <v>54</v>
      </c>
      <c r="E33" s="0" t="s">
        <v>43</v>
      </c>
      <c r="F33" s="0" t="s">
        <v>53</v>
      </c>
      <c r="G33" s="0" t="s">
        <v>45</v>
      </c>
      <c r="H33" s="6" t="n">
        <v>15.1</v>
      </c>
      <c r="I33" s="6" t="n">
        <v>96.4</v>
      </c>
    </row>
    <row r="34" customFormat="false" ht="15" hidden="false" customHeight="false" outlineLevel="0" collapsed="false">
      <c r="A34" s="0" t="n">
        <v>2022</v>
      </c>
      <c r="B34" s="0" t="n">
        <v>5</v>
      </c>
      <c r="C34" s="0" t="s">
        <v>58</v>
      </c>
      <c r="D34" s="0" t="s">
        <v>42</v>
      </c>
      <c r="E34" s="0" t="s">
        <v>43</v>
      </c>
      <c r="F34" s="0" t="s">
        <v>44</v>
      </c>
      <c r="G34" s="0" t="s">
        <v>45</v>
      </c>
      <c r="H34" s="6" t="n">
        <v>45.8</v>
      </c>
      <c r="I34" s="6" t="n">
        <v>96.2</v>
      </c>
    </row>
    <row r="35" customFormat="false" ht="15" hidden="false" customHeight="false" outlineLevel="0" collapsed="false">
      <c r="A35" s="0" t="n">
        <v>2022</v>
      </c>
      <c r="B35" s="0" t="n">
        <v>5</v>
      </c>
      <c r="C35" s="0" t="s">
        <v>58</v>
      </c>
      <c r="D35" s="0" t="s">
        <v>46</v>
      </c>
      <c r="E35" s="0" t="s">
        <v>43</v>
      </c>
      <c r="F35" s="0" t="s">
        <v>44</v>
      </c>
      <c r="G35" s="0" t="s">
        <v>47</v>
      </c>
      <c r="H35" s="6" t="n">
        <v>40.6</v>
      </c>
      <c r="I35" s="6" t="n">
        <v>100</v>
      </c>
    </row>
    <row r="36" customFormat="false" ht="15" hidden="false" customHeight="false" outlineLevel="0" collapsed="false">
      <c r="A36" s="0" t="n">
        <v>2022</v>
      </c>
      <c r="B36" s="0" t="n">
        <v>5</v>
      </c>
      <c r="C36" s="0" t="s">
        <v>58</v>
      </c>
      <c r="D36" s="0" t="s">
        <v>48</v>
      </c>
      <c r="E36" s="0" t="s">
        <v>43</v>
      </c>
      <c r="F36" s="0" t="s">
        <v>44</v>
      </c>
      <c r="G36" s="0" t="s">
        <v>47</v>
      </c>
      <c r="H36" s="6" t="n">
        <v>36.9</v>
      </c>
      <c r="I36" s="6" t="n">
        <v>100</v>
      </c>
    </row>
    <row r="37" customFormat="false" ht="15" hidden="false" customHeight="false" outlineLevel="0" collapsed="false">
      <c r="A37" s="0" t="n">
        <v>2022</v>
      </c>
      <c r="B37" s="0" t="n">
        <v>5</v>
      </c>
      <c r="C37" s="0" t="s">
        <v>58</v>
      </c>
      <c r="D37" s="0" t="s">
        <v>49</v>
      </c>
      <c r="E37" s="0" t="s">
        <v>50</v>
      </c>
      <c r="F37" s="0" t="s">
        <v>44</v>
      </c>
      <c r="G37" s="0" t="s">
        <v>47</v>
      </c>
      <c r="H37" s="6" t="n">
        <v>40.1</v>
      </c>
      <c r="I37" s="6" t="n">
        <v>100</v>
      </c>
    </row>
    <row r="38" customFormat="false" ht="15" hidden="false" customHeight="false" outlineLevel="0" collapsed="false">
      <c r="A38" s="0" t="n">
        <v>2022</v>
      </c>
      <c r="B38" s="0" t="n">
        <v>5</v>
      </c>
      <c r="C38" s="0" t="s">
        <v>58</v>
      </c>
      <c r="D38" s="0" t="s">
        <v>51</v>
      </c>
      <c r="E38" s="0" t="s">
        <v>50</v>
      </c>
      <c r="F38" s="0" t="s">
        <v>44</v>
      </c>
      <c r="G38" s="0" t="s">
        <v>47</v>
      </c>
      <c r="H38" s="6" t="n">
        <v>35.4</v>
      </c>
      <c r="I38" s="6" t="n">
        <v>100</v>
      </c>
    </row>
    <row r="39" customFormat="false" ht="15" hidden="false" customHeight="false" outlineLevel="0" collapsed="false">
      <c r="A39" s="0" t="n">
        <v>2022</v>
      </c>
      <c r="B39" s="0" t="n">
        <v>5</v>
      </c>
      <c r="C39" s="0" t="s">
        <v>58</v>
      </c>
      <c r="D39" s="0" t="s">
        <v>52</v>
      </c>
      <c r="E39" s="0" t="s">
        <v>52</v>
      </c>
      <c r="F39" s="0" t="s">
        <v>44</v>
      </c>
      <c r="G39" s="0" t="s">
        <v>47</v>
      </c>
      <c r="H39" s="6" t="n">
        <v>38.1</v>
      </c>
      <c r="I39" s="6" t="n">
        <v>100</v>
      </c>
    </row>
    <row r="40" customFormat="false" ht="15" hidden="false" customHeight="false" outlineLevel="0" collapsed="false">
      <c r="A40" s="0" t="n">
        <v>2022</v>
      </c>
      <c r="B40" s="0" t="n">
        <v>5</v>
      </c>
      <c r="C40" s="0" t="s">
        <v>58</v>
      </c>
      <c r="D40" s="0" t="s">
        <v>42</v>
      </c>
      <c r="E40" s="0" t="s">
        <v>43</v>
      </c>
      <c r="F40" s="0" t="s">
        <v>53</v>
      </c>
      <c r="G40" s="0" t="s">
        <v>45</v>
      </c>
      <c r="H40" s="6" t="n">
        <v>17</v>
      </c>
      <c r="I40" s="6" t="n">
        <v>96.3</v>
      </c>
    </row>
    <row r="41" customFormat="false" ht="15" hidden="false" customHeight="false" outlineLevel="0" collapsed="false">
      <c r="A41" s="0" t="n">
        <v>2022</v>
      </c>
      <c r="B41" s="0" t="n">
        <v>5</v>
      </c>
      <c r="C41" s="0" t="s">
        <v>58</v>
      </c>
      <c r="D41" s="0" t="s">
        <v>54</v>
      </c>
      <c r="E41" s="0" t="s">
        <v>43</v>
      </c>
      <c r="F41" s="0" t="s">
        <v>53</v>
      </c>
      <c r="G41" s="0" t="s">
        <v>45</v>
      </c>
      <c r="H41" s="6" t="n">
        <v>15.4</v>
      </c>
      <c r="I41" s="6" t="n">
        <v>98.2</v>
      </c>
    </row>
    <row r="42" customFormat="false" ht="15" hidden="false" customHeight="false" outlineLevel="0" collapsed="false">
      <c r="A42" s="0" t="n">
        <v>2022</v>
      </c>
      <c r="B42" s="0" t="n">
        <v>6</v>
      </c>
      <c r="C42" s="0" t="s">
        <v>59</v>
      </c>
      <c r="D42" s="0" t="s">
        <v>42</v>
      </c>
      <c r="E42" s="0" t="s">
        <v>43</v>
      </c>
      <c r="F42" s="0" t="s">
        <v>44</v>
      </c>
      <c r="G42" s="0" t="s">
        <v>45</v>
      </c>
      <c r="H42" s="6" t="n">
        <v>46.3</v>
      </c>
      <c r="I42" s="6" t="n">
        <v>95.9</v>
      </c>
    </row>
    <row r="43" customFormat="false" ht="15" hidden="false" customHeight="false" outlineLevel="0" collapsed="false">
      <c r="A43" s="0" t="n">
        <v>2022</v>
      </c>
      <c r="B43" s="0" t="n">
        <v>6</v>
      </c>
      <c r="C43" s="0" t="s">
        <v>59</v>
      </c>
      <c r="D43" s="0" t="s">
        <v>46</v>
      </c>
      <c r="E43" s="0" t="s">
        <v>43</v>
      </c>
      <c r="F43" s="0" t="s">
        <v>44</v>
      </c>
      <c r="G43" s="0" t="s">
        <v>47</v>
      </c>
      <c r="H43" s="6" t="n">
        <v>41.4</v>
      </c>
      <c r="I43" s="6" t="n">
        <v>100</v>
      </c>
    </row>
    <row r="44" customFormat="false" ht="15" hidden="false" customHeight="false" outlineLevel="0" collapsed="false">
      <c r="A44" s="0" t="n">
        <v>2022</v>
      </c>
      <c r="B44" s="0" t="n">
        <v>6</v>
      </c>
      <c r="C44" s="0" t="s">
        <v>59</v>
      </c>
      <c r="D44" s="0" t="s">
        <v>48</v>
      </c>
      <c r="E44" s="0" t="s">
        <v>43</v>
      </c>
      <c r="F44" s="0" t="s">
        <v>44</v>
      </c>
      <c r="G44" s="0" t="s">
        <v>47</v>
      </c>
      <c r="H44" s="6" t="n">
        <v>34.9</v>
      </c>
      <c r="I44" s="6" t="n">
        <v>100</v>
      </c>
    </row>
    <row r="45" customFormat="false" ht="15" hidden="false" customHeight="false" outlineLevel="0" collapsed="false">
      <c r="A45" s="0" t="n">
        <v>2022</v>
      </c>
      <c r="B45" s="0" t="n">
        <v>6</v>
      </c>
      <c r="C45" s="0" t="s">
        <v>59</v>
      </c>
      <c r="D45" s="0" t="s">
        <v>49</v>
      </c>
      <c r="E45" s="0" t="s">
        <v>50</v>
      </c>
      <c r="F45" s="0" t="s">
        <v>44</v>
      </c>
      <c r="G45" s="0" t="s">
        <v>47</v>
      </c>
      <c r="H45" s="6" t="n">
        <v>37.4</v>
      </c>
      <c r="I45" s="6" t="n">
        <v>100</v>
      </c>
    </row>
    <row r="46" customFormat="false" ht="15" hidden="false" customHeight="false" outlineLevel="0" collapsed="false">
      <c r="A46" s="0" t="n">
        <v>2022</v>
      </c>
      <c r="B46" s="0" t="n">
        <v>6</v>
      </c>
      <c r="C46" s="0" t="s">
        <v>59</v>
      </c>
      <c r="D46" s="0" t="s">
        <v>51</v>
      </c>
      <c r="E46" s="0" t="s">
        <v>50</v>
      </c>
      <c r="F46" s="0" t="s">
        <v>44</v>
      </c>
      <c r="G46" s="0" t="s">
        <v>47</v>
      </c>
      <c r="H46" s="6" t="n">
        <v>36</v>
      </c>
      <c r="I46" s="6" t="n">
        <v>100</v>
      </c>
    </row>
    <row r="47" customFormat="false" ht="15" hidden="false" customHeight="false" outlineLevel="0" collapsed="false">
      <c r="A47" s="0" t="n">
        <v>2022</v>
      </c>
      <c r="B47" s="0" t="n">
        <v>6</v>
      </c>
      <c r="C47" s="0" t="s">
        <v>59</v>
      </c>
      <c r="D47" s="0" t="s">
        <v>52</v>
      </c>
      <c r="E47" s="0" t="s">
        <v>52</v>
      </c>
      <c r="F47" s="0" t="s">
        <v>44</v>
      </c>
      <c r="G47" s="0" t="s">
        <v>47</v>
      </c>
      <c r="H47" s="6" t="n">
        <v>37.5</v>
      </c>
      <c r="I47" s="6" t="n">
        <v>100</v>
      </c>
    </row>
    <row r="48" customFormat="false" ht="15" hidden="false" customHeight="false" outlineLevel="0" collapsed="false">
      <c r="A48" s="0" t="n">
        <v>2022</v>
      </c>
      <c r="B48" s="0" t="n">
        <v>6</v>
      </c>
      <c r="C48" s="0" t="s">
        <v>59</v>
      </c>
      <c r="D48" s="0" t="s">
        <v>42</v>
      </c>
      <c r="E48" s="0" t="s">
        <v>43</v>
      </c>
      <c r="F48" s="0" t="s">
        <v>53</v>
      </c>
      <c r="G48" s="0" t="s">
        <v>45</v>
      </c>
      <c r="H48" s="6" t="n">
        <v>16.8</v>
      </c>
      <c r="I48" s="6" t="n">
        <v>98.4</v>
      </c>
    </row>
    <row r="49" customFormat="false" ht="15" hidden="false" customHeight="false" outlineLevel="0" collapsed="false">
      <c r="A49" s="0" t="n">
        <v>2022</v>
      </c>
      <c r="B49" s="0" t="n">
        <v>6</v>
      </c>
      <c r="C49" s="0" t="s">
        <v>59</v>
      </c>
      <c r="D49" s="0" t="s">
        <v>54</v>
      </c>
      <c r="E49" s="0" t="s">
        <v>43</v>
      </c>
      <c r="F49" s="0" t="s">
        <v>53</v>
      </c>
      <c r="G49" s="0" t="s">
        <v>45</v>
      </c>
      <c r="H49" s="6" t="n">
        <v>14.6</v>
      </c>
      <c r="I49" s="6" t="n">
        <v>98.9</v>
      </c>
    </row>
    <row r="50" customFormat="false" ht="15" hidden="false" customHeight="false" outlineLevel="0" collapsed="false">
      <c r="A50" s="0" t="n">
        <v>2022</v>
      </c>
      <c r="B50" s="0" t="n">
        <v>7</v>
      </c>
      <c r="C50" s="0" t="s">
        <v>60</v>
      </c>
      <c r="D50" s="0" t="s">
        <v>42</v>
      </c>
      <c r="E50" s="0" t="s">
        <v>43</v>
      </c>
      <c r="F50" s="0" t="s">
        <v>44</v>
      </c>
      <c r="G50" s="0" t="s">
        <v>45</v>
      </c>
      <c r="H50" s="6" t="n">
        <v>43.5</v>
      </c>
      <c r="I50" s="6" t="n">
        <v>95.2</v>
      </c>
    </row>
    <row r="51" customFormat="false" ht="15" hidden="false" customHeight="false" outlineLevel="0" collapsed="false">
      <c r="A51" s="0" t="n">
        <v>2022</v>
      </c>
      <c r="B51" s="0" t="n">
        <v>7</v>
      </c>
      <c r="C51" s="0" t="s">
        <v>60</v>
      </c>
      <c r="D51" s="0" t="s">
        <v>46</v>
      </c>
      <c r="E51" s="0" t="s">
        <v>43</v>
      </c>
      <c r="F51" s="0" t="s">
        <v>44</v>
      </c>
      <c r="G51" s="0" t="s">
        <v>47</v>
      </c>
      <c r="H51" s="6" t="n">
        <v>38.8</v>
      </c>
      <c r="I51" s="6" t="n">
        <v>100</v>
      </c>
    </row>
    <row r="52" customFormat="false" ht="15" hidden="false" customHeight="false" outlineLevel="0" collapsed="false">
      <c r="A52" s="0" t="n">
        <v>2022</v>
      </c>
      <c r="B52" s="0" t="n">
        <v>7</v>
      </c>
      <c r="C52" s="0" t="s">
        <v>60</v>
      </c>
      <c r="D52" s="0" t="s">
        <v>48</v>
      </c>
      <c r="E52" s="0" t="s">
        <v>43</v>
      </c>
      <c r="F52" s="0" t="s">
        <v>44</v>
      </c>
      <c r="G52" s="0" t="s">
        <v>47</v>
      </c>
      <c r="H52" s="6" t="n">
        <v>34.4</v>
      </c>
      <c r="I52" s="6" t="n">
        <v>100</v>
      </c>
    </row>
    <row r="53" customFormat="false" ht="15" hidden="false" customHeight="false" outlineLevel="0" collapsed="false">
      <c r="A53" s="0" t="n">
        <v>2022</v>
      </c>
      <c r="B53" s="0" t="n">
        <v>7</v>
      </c>
      <c r="C53" s="0" t="s">
        <v>60</v>
      </c>
      <c r="D53" s="0" t="s">
        <v>49</v>
      </c>
      <c r="E53" s="0" t="s">
        <v>50</v>
      </c>
      <c r="F53" s="0" t="s">
        <v>44</v>
      </c>
      <c r="G53" s="0" t="s">
        <v>47</v>
      </c>
      <c r="H53" s="6" t="n">
        <v>35.9</v>
      </c>
      <c r="I53" s="6" t="n">
        <v>100</v>
      </c>
    </row>
    <row r="54" customFormat="false" ht="15" hidden="false" customHeight="false" outlineLevel="0" collapsed="false">
      <c r="A54" s="0" t="n">
        <v>2022</v>
      </c>
      <c r="B54" s="0" t="n">
        <v>7</v>
      </c>
      <c r="C54" s="0" t="s">
        <v>60</v>
      </c>
      <c r="D54" s="0" t="s">
        <v>51</v>
      </c>
      <c r="E54" s="0" t="s">
        <v>50</v>
      </c>
      <c r="F54" s="0" t="s">
        <v>44</v>
      </c>
      <c r="G54" s="0" t="s">
        <v>47</v>
      </c>
      <c r="H54" s="6" t="n">
        <v>35</v>
      </c>
      <c r="I54" s="6" t="n">
        <v>100</v>
      </c>
    </row>
    <row r="55" customFormat="false" ht="15" hidden="false" customHeight="false" outlineLevel="0" collapsed="false">
      <c r="A55" s="0" t="n">
        <v>2022</v>
      </c>
      <c r="B55" s="0" t="n">
        <v>7</v>
      </c>
      <c r="C55" s="0" t="s">
        <v>60</v>
      </c>
      <c r="D55" s="0" t="s">
        <v>52</v>
      </c>
      <c r="E55" s="0" t="s">
        <v>52</v>
      </c>
      <c r="F55" s="0" t="s">
        <v>44</v>
      </c>
      <c r="G55" s="0" t="s">
        <v>47</v>
      </c>
      <c r="H55" s="6" t="n">
        <v>37.5</v>
      </c>
      <c r="I55" s="6" t="n">
        <v>100</v>
      </c>
    </row>
    <row r="56" customFormat="false" ht="15" hidden="false" customHeight="false" outlineLevel="0" collapsed="false">
      <c r="A56" s="0" t="n">
        <v>2022</v>
      </c>
      <c r="B56" s="0" t="n">
        <v>7</v>
      </c>
      <c r="C56" s="0" t="s">
        <v>60</v>
      </c>
      <c r="D56" s="0" t="s">
        <v>42</v>
      </c>
      <c r="E56" s="0" t="s">
        <v>43</v>
      </c>
      <c r="F56" s="0" t="s">
        <v>53</v>
      </c>
      <c r="G56" s="0" t="s">
        <v>45</v>
      </c>
      <c r="H56" s="6" t="n">
        <v>16</v>
      </c>
      <c r="I56" s="6" t="n">
        <v>98.3</v>
      </c>
    </row>
    <row r="57" customFormat="false" ht="15" hidden="false" customHeight="false" outlineLevel="0" collapsed="false">
      <c r="A57" s="0" t="n">
        <v>2022</v>
      </c>
      <c r="B57" s="0" t="n">
        <v>7</v>
      </c>
      <c r="C57" s="0" t="s">
        <v>60</v>
      </c>
      <c r="D57" s="0" t="s">
        <v>54</v>
      </c>
      <c r="E57" s="0" t="s">
        <v>43</v>
      </c>
      <c r="F57" s="0" t="s">
        <v>53</v>
      </c>
      <c r="G57" s="0" t="s">
        <v>45</v>
      </c>
      <c r="H57" s="6" t="n">
        <v>13.6</v>
      </c>
      <c r="I57" s="6" t="n">
        <v>99.6</v>
      </c>
    </row>
    <row r="58" customFormat="false" ht="15" hidden="false" customHeight="false" outlineLevel="0" collapsed="false">
      <c r="A58" s="0" t="n">
        <v>2022</v>
      </c>
      <c r="B58" s="0" t="n">
        <v>8</v>
      </c>
      <c r="C58" s="0" t="s">
        <v>61</v>
      </c>
      <c r="D58" s="0" t="s">
        <v>42</v>
      </c>
      <c r="E58" s="0" t="s">
        <v>43</v>
      </c>
      <c r="F58" s="0" t="s">
        <v>44</v>
      </c>
      <c r="G58" s="0" t="s">
        <v>45</v>
      </c>
      <c r="H58" s="6" t="n">
        <v>45.6</v>
      </c>
      <c r="I58" s="6" t="n">
        <v>96.3</v>
      </c>
    </row>
    <row r="59" customFormat="false" ht="15" hidden="false" customHeight="false" outlineLevel="0" collapsed="false">
      <c r="A59" s="0" t="n">
        <v>2022</v>
      </c>
      <c r="B59" s="0" t="n">
        <v>8</v>
      </c>
      <c r="C59" s="0" t="s">
        <v>61</v>
      </c>
      <c r="D59" s="0" t="s">
        <v>46</v>
      </c>
      <c r="E59" s="0" t="s">
        <v>43</v>
      </c>
      <c r="F59" s="0" t="s">
        <v>44</v>
      </c>
      <c r="G59" s="0" t="s">
        <v>47</v>
      </c>
      <c r="H59" s="6" t="n">
        <v>39.5</v>
      </c>
      <c r="I59" s="6" t="n">
        <v>100</v>
      </c>
    </row>
    <row r="60" customFormat="false" ht="15" hidden="false" customHeight="false" outlineLevel="0" collapsed="false">
      <c r="A60" s="0" t="n">
        <v>2022</v>
      </c>
      <c r="B60" s="0" t="n">
        <v>8</v>
      </c>
      <c r="C60" s="0" t="s">
        <v>61</v>
      </c>
      <c r="D60" s="0" t="s">
        <v>48</v>
      </c>
      <c r="E60" s="0" t="s">
        <v>43</v>
      </c>
      <c r="F60" s="0" t="s">
        <v>44</v>
      </c>
      <c r="G60" s="0" t="s">
        <v>47</v>
      </c>
      <c r="H60" s="6" t="n">
        <v>36.3</v>
      </c>
      <c r="I60" s="6" t="n">
        <v>100</v>
      </c>
    </row>
    <row r="61" customFormat="false" ht="15" hidden="false" customHeight="false" outlineLevel="0" collapsed="false">
      <c r="A61" s="0" t="n">
        <v>2022</v>
      </c>
      <c r="B61" s="0" t="n">
        <v>8</v>
      </c>
      <c r="C61" s="0" t="s">
        <v>61</v>
      </c>
      <c r="D61" s="0" t="s">
        <v>49</v>
      </c>
      <c r="E61" s="0" t="s">
        <v>50</v>
      </c>
      <c r="F61" s="0" t="s">
        <v>44</v>
      </c>
      <c r="G61" s="0" t="s">
        <v>47</v>
      </c>
      <c r="H61" s="6" t="n">
        <v>36.9</v>
      </c>
      <c r="I61" s="6" t="n">
        <v>100</v>
      </c>
    </row>
    <row r="62" customFormat="false" ht="15" hidden="false" customHeight="false" outlineLevel="0" collapsed="false">
      <c r="A62" s="0" t="n">
        <v>2022</v>
      </c>
      <c r="B62" s="0" t="n">
        <v>8</v>
      </c>
      <c r="C62" s="0" t="s">
        <v>61</v>
      </c>
      <c r="D62" s="0" t="s">
        <v>51</v>
      </c>
      <c r="E62" s="0" t="s">
        <v>50</v>
      </c>
      <c r="F62" s="0" t="s">
        <v>44</v>
      </c>
      <c r="G62" s="0" t="s">
        <v>47</v>
      </c>
      <c r="H62" s="6" t="n">
        <v>34.6</v>
      </c>
      <c r="I62" s="6" t="n">
        <v>100</v>
      </c>
    </row>
    <row r="63" customFormat="false" ht="15" hidden="false" customHeight="false" outlineLevel="0" collapsed="false">
      <c r="A63" s="0" t="n">
        <v>2022</v>
      </c>
      <c r="B63" s="0" t="n">
        <v>8</v>
      </c>
      <c r="C63" s="0" t="s">
        <v>61</v>
      </c>
      <c r="D63" s="0" t="s">
        <v>52</v>
      </c>
      <c r="E63" s="0" t="s">
        <v>52</v>
      </c>
      <c r="F63" s="0" t="s">
        <v>44</v>
      </c>
      <c r="G63" s="0" t="s">
        <v>47</v>
      </c>
      <c r="H63" s="6" t="n">
        <v>38.4</v>
      </c>
      <c r="I63" s="6" t="n">
        <v>100</v>
      </c>
    </row>
    <row r="64" customFormat="false" ht="15" hidden="false" customHeight="false" outlineLevel="0" collapsed="false">
      <c r="A64" s="0" t="n">
        <v>2022</v>
      </c>
      <c r="B64" s="0" t="n">
        <v>8</v>
      </c>
      <c r="C64" s="0" t="s">
        <v>61</v>
      </c>
      <c r="D64" s="0" t="s">
        <v>42</v>
      </c>
      <c r="E64" s="0" t="s">
        <v>43</v>
      </c>
      <c r="F64" s="0" t="s">
        <v>53</v>
      </c>
      <c r="G64" s="0" t="s">
        <v>45</v>
      </c>
      <c r="H64" s="6" t="n">
        <v>16.6</v>
      </c>
      <c r="I64" s="6" t="n">
        <v>96.1</v>
      </c>
    </row>
    <row r="65" customFormat="false" ht="15" hidden="false" customHeight="false" outlineLevel="0" collapsed="false">
      <c r="A65" s="0" t="n">
        <v>2022</v>
      </c>
      <c r="B65" s="0" t="n">
        <v>8</v>
      </c>
      <c r="C65" s="0" t="s">
        <v>61</v>
      </c>
      <c r="D65" s="0" t="s">
        <v>54</v>
      </c>
      <c r="E65" s="0" t="s">
        <v>43</v>
      </c>
      <c r="F65" s="0" t="s">
        <v>53</v>
      </c>
      <c r="G65" s="0" t="s">
        <v>45</v>
      </c>
      <c r="H65" s="6" t="n">
        <v>14.8</v>
      </c>
      <c r="I65" s="6" t="n">
        <v>97.5</v>
      </c>
    </row>
    <row r="66" customFormat="false" ht="15" hidden="false" customHeight="false" outlineLevel="0" collapsed="false">
      <c r="A66" s="0" t="n">
        <v>2022</v>
      </c>
      <c r="B66" s="0" t="n">
        <v>9</v>
      </c>
      <c r="C66" s="0" t="s">
        <v>62</v>
      </c>
      <c r="D66" s="0" t="s">
        <v>42</v>
      </c>
      <c r="E66" s="0" t="s">
        <v>43</v>
      </c>
      <c r="F66" s="0" t="s">
        <v>44</v>
      </c>
      <c r="G66" s="0" t="s">
        <v>45</v>
      </c>
      <c r="H66" s="6" t="n">
        <v>47.4</v>
      </c>
      <c r="I66" s="6" t="n">
        <v>95.2</v>
      </c>
    </row>
    <row r="67" customFormat="false" ht="15" hidden="false" customHeight="false" outlineLevel="0" collapsed="false">
      <c r="A67" s="0" t="n">
        <v>2022</v>
      </c>
      <c r="B67" s="0" t="n">
        <v>9</v>
      </c>
      <c r="C67" s="0" t="s">
        <v>62</v>
      </c>
      <c r="D67" s="0" t="s">
        <v>46</v>
      </c>
      <c r="E67" s="0" t="s">
        <v>43</v>
      </c>
      <c r="F67" s="0" t="s">
        <v>44</v>
      </c>
      <c r="G67" s="0" t="s">
        <v>47</v>
      </c>
      <c r="H67" s="6" t="n">
        <v>42</v>
      </c>
      <c r="I67" s="6" t="n">
        <v>100</v>
      </c>
    </row>
    <row r="68" customFormat="false" ht="15" hidden="false" customHeight="false" outlineLevel="0" collapsed="false">
      <c r="A68" s="0" t="n">
        <v>2022</v>
      </c>
      <c r="B68" s="0" t="n">
        <v>9</v>
      </c>
      <c r="C68" s="0" t="s">
        <v>62</v>
      </c>
      <c r="D68" s="0" t="s">
        <v>48</v>
      </c>
      <c r="E68" s="0" t="s">
        <v>43</v>
      </c>
      <c r="F68" s="0" t="s">
        <v>44</v>
      </c>
      <c r="G68" s="0" t="s">
        <v>47</v>
      </c>
      <c r="H68" s="6" t="n">
        <v>39.4</v>
      </c>
      <c r="I68" s="6" t="n">
        <v>100</v>
      </c>
    </row>
    <row r="69" customFormat="false" ht="15" hidden="false" customHeight="false" outlineLevel="0" collapsed="false">
      <c r="A69" s="0" t="n">
        <v>2022</v>
      </c>
      <c r="B69" s="0" t="n">
        <v>9</v>
      </c>
      <c r="C69" s="0" t="s">
        <v>62</v>
      </c>
      <c r="D69" s="0" t="s">
        <v>49</v>
      </c>
      <c r="E69" s="0" t="s">
        <v>50</v>
      </c>
      <c r="F69" s="0" t="s">
        <v>44</v>
      </c>
      <c r="G69" s="0" t="s">
        <v>47</v>
      </c>
      <c r="H69" s="6" t="n">
        <v>42</v>
      </c>
      <c r="I69" s="6" t="n">
        <v>100</v>
      </c>
    </row>
    <row r="70" customFormat="false" ht="15" hidden="false" customHeight="false" outlineLevel="0" collapsed="false">
      <c r="A70" s="0" t="n">
        <v>2022</v>
      </c>
      <c r="B70" s="0" t="n">
        <v>9</v>
      </c>
      <c r="C70" s="0" t="s">
        <v>62</v>
      </c>
      <c r="D70" s="0" t="s">
        <v>51</v>
      </c>
      <c r="E70" s="0" t="s">
        <v>50</v>
      </c>
      <c r="F70" s="0" t="s">
        <v>44</v>
      </c>
      <c r="G70" s="0" t="s">
        <v>47</v>
      </c>
      <c r="H70" s="6" t="n">
        <v>36.8</v>
      </c>
      <c r="I70" s="6" t="n">
        <v>100</v>
      </c>
    </row>
    <row r="71" customFormat="false" ht="15" hidden="false" customHeight="false" outlineLevel="0" collapsed="false">
      <c r="A71" s="0" t="n">
        <v>2022</v>
      </c>
      <c r="B71" s="0" t="n">
        <v>9</v>
      </c>
      <c r="C71" s="0" t="s">
        <v>62</v>
      </c>
      <c r="D71" s="0" t="s">
        <v>52</v>
      </c>
      <c r="E71" s="0" t="s">
        <v>52</v>
      </c>
      <c r="F71" s="0" t="s">
        <v>44</v>
      </c>
      <c r="G71" s="0" t="s">
        <v>47</v>
      </c>
      <c r="H71" s="6" t="n">
        <v>38.2</v>
      </c>
      <c r="I71" s="6" t="n">
        <v>100</v>
      </c>
    </row>
    <row r="72" customFormat="false" ht="15" hidden="false" customHeight="false" outlineLevel="0" collapsed="false">
      <c r="A72" s="0" t="n">
        <v>2022</v>
      </c>
      <c r="B72" s="0" t="n">
        <v>9</v>
      </c>
      <c r="C72" s="0" t="s">
        <v>62</v>
      </c>
      <c r="D72" s="0" t="s">
        <v>42</v>
      </c>
      <c r="E72" s="0" t="s">
        <v>43</v>
      </c>
      <c r="F72" s="0" t="s">
        <v>53</v>
      </c>
      <c r="G72" s="0" t="s">
        <v>45</v>
      </c>
      <c r="H72" s="6" t="n">
        <v>17.8</v>
      </c>
      <c r="I72" s="6" t="n">
        <v>100</v>
      </c>
    </row>
    <row r="73" customFormat="false" ht="15" hidden="false" customHeight="false" outlineLevel="0" collapsed="false">
      <c r="A73" s="0" t="n">
        <v>2022</v>
      </c>
      <c r="B73" s="0" t="n">
        <v>9</v>
      </c>
      <c r="C73" s="0" t="s">
        <v>62</v>
      </c>
      <c r="D73" s="0" t="s">
        <v>54</v>
      </c>
      <c r="E73" s="0" t="s">
        <v>43</v>
      </c>
      <c r="F73" s="0" t="s">
        <v>53</v>
      </c>
      <c r="G73" s="0" t="s">
        <v>45</v>
      </c>
      <c r="H73" s="6" t="n">
        <v>15.2</v>
      </c>
      <c r="I73" s="6" t="n">
        <v>99.9</v>
      </c>
    </row>
    <row r="74" customFormat="false" ht="15" hidden="false" customHeight="false" outlineLevel="0" collapsed="false">
      <c r="A74" s="0" t="n">
        <v>2022</v>
      </c>
      <c r="B74" s="0" t="n">
        <v>10</v>
      </c>
      <c r="C74" s="0" t="s">
        <v>63</v>
      </c>
      <c r="D74" s="0" t="s">
        <v>42</v>
      </c>
      <c r="E74" s="0" t="s">
        <v>43</v>
      </c>
      <c r="F74" s="0" t="s">
        <v>44</v>
      </c>
      <c r="G74" s="0" t="s">
        <v>45</v>
      </c>
      <c r="H74" s="6" t="n">
        <v>56</v>
      </c>
      <c r="I74" s="6" t="n">
        <v>95.1</v>
      </c>
    </row>
    <row r="75" customFormat="false" ht="15" hidden="false" customHeight="false" outlineLevel="0" collapsed="false">
      <c r="A75" s="0" t="n">
        <v>2022</v>
      </c>
      <c r="B75" s="0" t="n">
        <v>10</v>
      </c>
      <c r="C75" s="0" t="s">
        <v>63</v>
      </c>
      <c r="D75" s="0" t="s">
        <v>46</v>
      </c>
      <c r="E75" s="0" t="s">
        <v>43</v>
      </c>
      <c r="F75" s="0" t="s">
        <v>44</v>
      </c>
      <c r="G75" s="0" t="s">
        <v>47</v>
      </c>
      <c r="H75" s="6" t="n">
        <v>48.9</v>
      </c>
      <c r="I75" s="6" t="n">
        <v>100</v>
      </c>
    </row>
    <row r="76" customFormat="false" ht="15" hidden="false" customHeight="false" outlineLevel="0" collapsed="false">
      <c r="A76" s="0" t="n">
        <v>2022</v>
      </c>
      <c r="B76" s="0" t="n">
        <v>10</v>
      </c>
      <c r="C76" s="0" t="s">
        <v>63</v>
      </c>
      <c r="D76" s="0" t="s">
        <v>48</v>
      </c>
      <c r="E76" s="0" t="s">
        <v>43</v>
      </c>
      <c r="F76" s="0" t="s">
        <v>44</v>
      </c>
      <c r="G76" s="0" t="s">
        <v>47</v>
      </c>
      <c r="H76" s="6" t="n">
        <v>43.4</v>
      </c>
      <c r="I76" s="6" t="n">
        <v>100</v>
      </c>
    </row>
    <row r="77" customFormat="false" ht="15" hidden="false" customHeight="false" outlineLevel="0" collapsed="false">
      <c r="A77" s="0" t="n">
        <v>2022</v>
      </c>
      <c r="B77" s="0" t="n">
        <v>10</v>
      </c>
      <c r="C77" s="0" t="s">
        <v>63</v>
      </c>
      <c r="D77" s="0" t="s">
        <v>49</v>
      </c>
      <c r="E77" s="0" t="s">
        <v>50</v>
      </c>
      <c r="F77" s="0" t="s">
        <v>44</v>
      </c>
      <c r="G77" s="0" t="s">
        <v>47</v>
      </c>
      <c r="H77" s="6" t="n">
        <v>44.9</v>
      </c>
      <c r="I77" s="6" t="n">
        <v>100</v>
      </c>
    </row>
    <row r="78" customFormat="false" ht="15" hidden="false" customHeight="false" outlineLevel="0" collapsed="false">
      <c r="A78" s="0" t="n">
        <v>2022</v>
      </c>
      <c r="B78" s="0" t="n">
        <v>10</v>
      </c>
      <c r="C78" s="0" t="s">
        <v>63</v>
      </c>
      <c r="D78" s="0" t="s">
        <v>51</v>
      </c>
      <c r="E78" s="0" t="s">
        <v>50</v>
      </c>
      <c r="F78" s="0" t="s">
        <v>44</v>
      </c>
      <c r="G78" s="0" t="s">
        <v>47</v>
      </c>
      <c r="H78" s="6" t="n">
        <v>39.6</v>
      </c>
      <c r="I78" s="6" t="n">
        <v>100</v>
      </c>
    </row>
    <row r="79" customFormat="false" ht="15" hidden="false" customHeight="false" outlineLevel="0" collapsed="false">
      <c r="A79" s="0" t="n">
        <v>2022</v>
      </c>
      <c r="B79" s="0" t="n">
        <v>10</v>
      </c>
      <c r="C79" s="0" t="s">
        <v>63</v>
      </c>
      <c r="D79" s="0" t="s">
        <v>52</v>
      </c>
      <c r="E79" s="0" t="s">
        <v>52</v>
      </c>
      <c r="F79" s="0" t="s">
        <v>44</v>
      </c>
      <c r="G79" s="0" t="s">
        <v>47</v>
      </c>
      <c r="H79" s="6" t="n">
        <v>44.3</v>
      </c>
      <c r="I79" s="6" t="n">
        <v>100</v>
      </c>
    </row>
    <row r="80" customFormat="false" ht="15" hidden="false" customHeight="false" outlineLevel="0" collapsed="false">
      <c r="A80" s="0" t="n">
        <v>2022</v>
      </c>
      <c r="B80" s="0" t="n">
        <v>10</v>
      </c>
      <c r="C80" s="0" t="s">
        <v>63</v>
      </c>
      <c r="D80" s="0" t="s">
        <v>42</v>
      </c>
      <c r="E80" s="0" t="s">
        <v>43</v>
      </c>
      <c r="F80" s="0" t="s">
        <v>53</v>
      </c>
      <c r="G80" s="0" t="s">
        <v>45</v>
      </c>
      <c r="H80" s="6" t="n">
        <v>19</v>
      </c>
      <c r="I80" s="6" t="n">
        <v>97.2</v>
      </c>
    </row>
    <row r="81" customFormat="false" ht="15" hidden="false" customHeight="false" outlineLevel="0" collapsed="false">
      <c r="A81" s="0" t="n">
        <v>2022</v>
      </c>
      <c r="B81" s="0" t="n">
        <v>10</v>
      </c>
      <c r="C81" s="0" t="s">
        <v>63</v>
      </c>
      <c r="D81" s="0" t="s">
        <v>54</v>
      </c>
      <c r="E81" s="0" t="s">
        <v>43</v>
      </c>
      <c r="F81" s="0" t="s">
        <v>53</v>
      </c>
      <c r="G81" s="0" t="s">
        <v>45</v>
      </c>
      <c r="H81" s="6" t="n">
        <v>16.6</v>
      </c>
      <c r="I81" s="6" t="n">
        <v>99.8</v>
      </c>
    </row>
    <row r="82" customFormat="false" ht="15" hidden="false" customHeight="false" outlineLevel="0" collapsed="false">
      <c r="A82" s="0" t="n">
        <v>2022</v>
      </c>
      <c r="B82" s="0" t="n">
        <v>11</v>
      </c>
      <c r="C82" s="0" t="s">
        <v>64</v>
      </c>
      <c r="D82" s="0" t="s">
        <v>42</v>
      </c>
      <c r="E82" s="0" t="s">
        <v>43</v>
      </c>
      <c r="F82" s="0" t="s">
        <v>44</v>
      </c>
      <c r="G82" s="0" t="s">
        <v>45</v>
      </c>
      <c r="H82" s="6" t="n">
        <v>60.4</v>
      </c>
      <c r="I82" s="6" t="n">
        <v>96.3</v>
      </c>
    </row>
    <row r="83" customFormat="false" ht="15" hidden="false" customHeight="false" outlineLevel="0" collapsed="false">
      <c r="A83" s="0" t="n">
        <v>2022</v>
      </c>
      <c r="B83" s="0" t="n">
        <v>11</v>
      </c>
      <c r="C83" s="0" t="s">
        <v>64</v>
      </c>
      <c r="D83" s="0" t="s">
        <v>46</v>
      </c>
      <c r="E83" s="0" t="s">
        <v>43</v>
      </c>
      <c r="F83" s="0" t="s">
        <v>44</v>
      </c>
      <c r="G83" s="0" t="s">
        <v>47</v>
      </c>
      <c r="H83" s="6" t="n">
        <v>51.5</v>
      </c>
      <c r="I83" s="6" t="n">
        <v>100</v>
      </c>
    </row>
    <row r="84" customFormat="false" ht="15" hidden="false" customHeight="false" outlineLevel="0" collapsed="false">
      <c r="A84" s="0" t="n">
        <v>2022</v>
      </c>
      <c r="B84" s="0" t="n">
        <v>11</v>
      </c>
      <c r="C84" s="0" t="s">
        <v>64</v>
      </c>
      <c r="D84" s="0" t="s">
        <v>48</v>
      </c>
      <c r="E84" s="0" t="s">
        <v>43</v>
      </c>
      <c r="F84" s="0" t="s">
        <v>44</v>
      </c>
      <c r="G84" s="0" t="s">
        <v>47</v>
      </c>
      <c r="H84" s="6" t="n">
        <v>44.4</v>
      </c>
      <c r="I84" s="6" t="n">
        <v>100</v>
      </c>
    </row>
    <row r="85" customFormat="false" ht="15" hidden="false" customHeight="false" outlineLevel="0" collapsed="false">
      <c r="A85" s="0" t="n">
        <v>2022</v>
      </c>
      <c r="B85" s="0" t="n">
        <v>11</v>
      </c>
      <c r="C85" s="0" t="s">
        <v>64</v>
      </c>
      <c r="D85" s="0" t="s">
        <v>49</v>
      </c>
      <c r="E85" s="0" t="s">
        <v>50</v>
      </c>
      <c r="F85" s="0" t="s">
        <v>44</v>
      </c>
      <c r="G85" s="0" t="s">
        <v>47</v>
      </c>
      <c r="H85" s="6" t="n">
        <v>50.1</v>
      </c>
      <c r="I85" s="6" t="n">
        <v>100</v>
      </c>
    </row>
    <row r="86" customFormat="false" ht="15" hidden="false" customHeight="false" outlineLevel="0" collapsed="false">
      <c r="A86" s="0" t="n">
        <v>2022</v>
      </c>
      <c r="B86" s="0" t="n">
        <v>11</v>
      </c>
      <c r="C86" s="0" t="s">
        <v>64</v>
      </c>
      <c r="D86" s="0" t="s">
        <v>51</v>
      </c>
      <c r="E86" s="0" t="s">
        <v>50</v>
      </c>
      <c r="F86" s="0" t="s">
        <v>44</v>
      </c>
      <c r="G86" s="0" t="s">
        <v>47</v>
      </c>
      <c r="H86" s="6" t="n">
        <v>45.3</v>
      </c>
      <c r="I86" s="6" t="n">
        <v>100</v>
      </c>
    </row>
    <row r="87" customFormat="false" ht="15" hidden="false" customHeight="false" outlineLevel="0" collapsed="false">
      <c r="A87" s="0" t="n">
        <v>2022</v>
      </c>
      <c r="B87" s="0" t="n">
        <v>11</v>
      </c>
      <c r="C87" s="0" t="s">
        <v>64</v>
      </c>
      <c r="D87" s="0" t="s">
        <v>52</v>
      </c>
      <c r="E87" s="0" t="s">
        <v>52</v>
      </c>
      <c r="F87" s="0" t="s">
        <v>44</v>
      </c>
      <c r="G87" s="0" t="s">
        <v>47</v>
      </c>
      <c r="H87" s="6" t="n">
        <v>46.1</v>
      </c>
      <c r="I87" s="6" t="n">
        <v>100</v>
      </c>
    </row>
    <row r="88" customFormat="false" ht="15" hidden="false" customHeight="false" outlineLevel="0" collapsed="false">
      <c r="A88" s="0" t="n">
        <v>2022</v>
      </c>
      <c r="B88" s="0" t="n">
        <v>11</v>
      </c>
      <c r="C88" s="0" t="s">
        <v>64</v>
      </c>
      <c r="D88" s="0" t="s">
        <v>42</v>
      </c>
      <c r="E88" s="0" t="s">
        <v>43</v>
      </c>
      <c r="F88" s="0" t="s">
        <v>53</v>
      </c>
      <c r="G88" s="0" t="s">
        <v>45</v>
      </c>
      <c r="H88" s="6" t="n">
        <v>21.6</v>
      </c>
      <c r="I88" s="6" t="n">
        <v>98</v>
      </c>
    </row>
    <row r="89" customFormat="false" ht="15" hidden="false" customHeight="false" outlineLevel="0" collapsed="false">
      <c r="A89" s="0" t="n">
        <v>2022</v>
      </c>
      <c r="B89" s="0" t="n">
        <v>11</v>
      </c>
      <c r="C89" s="0" t="s">
        <v>64</v>
      </c>
      <c r="D89" s="0" t="s">
        <v>54</v>
      </c>
      <c r="E89" s="0" t="s">
        <v>43</v>
      </c>
      <c r="F89" s="0" t="s">
        <v>53</v>
      </c>
      <c r="G89" s="0" t="s">
        <v>45</v>
      </c>
      <c r="H89" s="6" t="n">
        <v>17.3</v>
      </c>
      <c r="I89" s="6" t="n">
        <v>98.8</v>
      </c>
    </row>
    <row r="90" customFormat="false" ht="15" hidden="false" customHeight="false" outlineLevel="0" collapsed="false">
      <c r="A90" s="0" t="n">
        <v>2022</v>
      </c>
      <c r="B90" s="0" t="n">
        <v>12</v>
      </c>
      <c r="C90" s="0" t="s">
        <v>65</v>
      </c>
      <c r="D90" s="0" t="s">
        <v>42</v>
      </c>
      <c r="E90" s="0" t="s">
        <v>43</v>
      </c>
      <c r="F90" s="0" t="s">
        <v>44</v>
      </c>
      <c r="G90" s="0" t="s">
        <v>45</v>
      </c>
      <c r="H90" s="6" t="n">
        <v>62.6</v>
      </c>
      <c r="I90" s="6" t="n">
        <v>98.9</v>
      </c>
    </row>
    <row r="91" customFormat="false" ht="15" hidden="false" customHeight="false" outlineLevel="0" collapsed="false">
      <c r="A91" s="0" t="n">
        <v>2022</v>
      </c>
      <c r="B91" s="0" t="n">
        <v>12</v>
      </c>
      <c r="C91" s="0" t="s">
        <v>65</v>
      </c>
      <c r="D91" s="0" t="s">
        <v>46</v>
      </c>
      <c r="E91" s="0" t="s">
        <v>43</v>
      </c>
      <c r="F91" s="0" t="s">
        <v>44</v>
      </c>
      <c r="G91" s="0" t="s">
        <v>47</v>
      </c>
      <c r="H91" s="6" t="n">
        <v>55.4</v>
      </c>
      <c r="I91" s="6" t="n">
        <v>100</v>
      </c>
    </row>
    <row r="92" customFormat="false" ht="15" hidden="false" customHeight="false" outlineLevel="0" collapsed="false">
      <c r="A92" s="0" t="n">
        <v>2022</v>
      </c>
      <c r="B92" s="0" t="n">
        <v>12</v>
      </c>
      <c r="C92" s="0" t="s">
        <v>65</v>
      </c>
      <c r="D92" s="0" t="s">
        <v>48</v>
      </c>
      <c r="E92" s="0" t="s">
        <v>43</v>
      </c>
      <c r="F92" s="0" t="s">
        <v>44</v>
      </c>
      <c r="G92" s="0" t="s">
        <v>47</v>
      </c>
      <c r="H92" s="6" t="n">
        <v>46.7</v>
      </c>
      <c r="I92" s="6" t="n">
        <v>100</v>
      </c>
    </row>
    <row r="93" customFormat="false" ht="15" hidden="false" customHeight="false" outlineLevel="0" collapsed="false">
      <c r="A93" s="0" t="n">
        <v>2022</v>
      </c>
      <c r="B93" s="0" t="n">
        <v>12</v>
      </c>
      <c r="C93" s="0" t="s">
        <v>65</v>
      </c>
      <c r="D93" s="0" t="s">
        <v>49</v>
      </c>
      <c r="E93" s="0" t="s">
        <v>50</v>
      </c>
      <c r="F93" s="0" t="s">
        <v>44</v>
      </c>
      <c r="G93" s="0" t="s">
        <v>47</v>
      </c>
      <c r="H93" s="6" t="n">
        <v>50.7</v>
      </c>
      <c r="I93" s="6" t="n">
        <v>100</v>
      </c>
    </row>
    <row r="94" customFormat="false" ht="15" hidden="false" customHeight="false" outlineLevel="0" collapsed="false">
      <c r="A94" s="0" t="n">
        <v>2022</v>
      </c>
      <c r="B94" s="0" t="n">
        <v>12</v>
      </c>
      <c r="C94" s="0" t="s">
        <v>65</v>
      </c>
      <c r="D94" s="0" t="s">
        <v>51</v>
      </c>
      <c r="E94" s="0" t="s">
        <v>50</v>
      </c>
      <c r="F94" s="0" t="s">
        <v>44</v>
      </c>
      <c r="G94" s="0" t="s">
        <v>47</v>
      </c>
      <c r="H94" s="6" t="n">
        <v>44.6</v>
      </c>
      <c r="I94" s="6" t="n">
        <v>100</v>
      </c>
    </row>
    <row r="95" customFormat="false" ht="15" hidden="false" customHeight="false" outlineLevel="0" collapsed="false">
      <c r="A95" s="0" t="n">
        <v>2022</v>
      </c>
      <c r="B95" s="0" t="n">
        <v>12</v>
      </c>
      <c r="C95" s="0" t="s">
        <v>65</v>
      </c>
      <c r="D95" s="0" t="s">
        <v>52</v>
      </c>
      <c r="E95" s="0" t="s">
        <v>52</v>
      </c>
      <c r="F95" s="0" t="s">
        <v>44</v>
      </c>
      <c r="G95" s="0" t="s">
        <v>47</v>
      </c>
      <c r="H95" s="6" t="n">
        <v>52.6</v>
      </c>
      <c r="I95" s="6" t="n">
        <v>100</v>
      </c>
    </row>
    <row r="96" customFormat="false" ht="15" hidden="false" customHeight="false" outlineLevel="0" collapsed="false">
      <c r="A96" s="0" t="n">
        <v>2022</v>
      </c>
      <c r="B96" s="0" t="n">
        <v>12</v>
      </c>
      <c r="C96" s="0" t="s">
        <v>65</v>
      </c>
      <c r="D96" s="0" t="s">
        <v>42</v>
      </c>
      <c r="E96" s="0" t="s">
        <v>43</v>
      </c>
      <c r="F96" s="0" t="s">
        <v>53</v>
      </c>
      <c r="G96" s="0" t="s">
        <v>45</v>
      </c>
      <c r="H96" s="6" t="n">
        <v>23.7</v>
      </c>
      <c r="I96" s="6" t="n">
        <v>99.2</v>
      </c>
    </row>
    <row r="97" customFormat="false" ht="15" hidden="false" customHeight="false" outlineLevel="0" collapsed="false">
      <c r="A97" s="0" t="n">
        <v>2022</v>
      </c>
      <c r="B97" s="0" t="n">
        <v>12</v>
      </c>
      <c r="C97" s="0" t="s">
        <v>65</v>
      </c>
      <c r="D97" s="0" t="s">
        <v>54</v>
      </c>
      <c r="E97" s="0" t="s">
        <v>43</v>
      </c>
      <c r="F97" s="0" t="s">
        <v>53</v>
      </c>
      <c r="G97" s="0" t="s">
        <v>45</v>
      </c>
      <c r="H97" s="6" t="n">
        <v>18.8</v>
      </c>
      <c r="I97" s="6" t="n">
        <v>95.3</v>
      </c>
    </row>
    <row r="98" customFormat="false" ht="15" hidden="false" customHeight="false" outlineLevel="0" collapsed="false">
      <c r="A98" s="0" t="n">
        <v>2023</v>
      </c>
      <c r="B98" s="0" t="n">
        <v>1</v>
      </c>
      <c r="C98" s="0" t="s">
        <v>66</v>
      </c>
      <c r="D98" s="0" t="s">
        <v>42</v>
      </c>
      <c r="E98" s="0" t="s">
        <v>43</v>
      </c>
      <c r="F98" s="0" t="s">
        <v>44</v>
      </c>
      <c r="G98" s="0" t="s">
        <v>45</v>
      </c>
      <c r="H98" s="6" t="n">
        <v>59.2</v>
      </c>
      <c r="I98" s="6" t="n">
        <v>99.7</v>
      </c>
    </row>
    <row r="99" customFormat="false" ht="15" hidden="false" customHeight="false" outlineLevel="0" collapsed="false">
      <c r="A99" s="0" t="n">
        <v>2023</v>
      </c>
      <c r="B99" s="0" t="n">
        <v>1</v>
      </c>
      <c r="C99" s="0" t="s">
        <v>66</v>
      </c>
      <c r="D99" s="0" t="s">
        <v>46</v>
      </c>
      <c r="E99" s="0" t="s">
        <v>43</v>
      </c>
      <c r="F99" s="0" t="s">
        <v>44</v>
      </c>
      <c r="G99" s="0" t="s">
        <v>47</v>
      </c>
      <c r="H99" s="6" t="n">
        <v>48.4</v>
      </c>
      <c r="I99" s="6" t="n">
        <v>100</v>
      </c>
    </row>
    <row r="100" customFormat="false" ht="15" hidden="false" customHeight="false" outlineLevel="0" collapsed="false">
      <c r="A100" s="0" t="n">
        <v>2023</v>
      </c>
      <c r="B100" s="0" t="n">
        <v>1</v>
      </c>
      <c r="C100" s="0" t="s">
        <v>66</v>
      </c>
      <c r="D100" s="0" t="s">
        <v>48</v>
      </c>
      <c r="E100" s="0" t="s">
        <v>43</v>
      </c>
      <c r="F100" s="0" t="s">
        <v>44</v>
      </c>
      <c r="G100" s="0" t="s">
        <v>47</v>
      </c>
      <c r="H100" s="6" t="n">
        <v>44.9</v>
      </c>
      <c r="I100" s="6" t="n">
        <v>100</v>
      </c>
    </row>
    <row r="101" customFormat="false" ht="15" hidden="false" customHeight="false" outlineLevel="0" collapsed="false">
      <c r="A101" s="0" t="n">
        <v>2023</v>
      </c>
      <c r="B101" s="0" t="n">
        <v>1</v>
      </c>
      <c r="C101" s="0" t="s">
        <v>66</v>
      </c>
      <c r="D101" s="0" t="s">
        <v>49</v>
      </c>
      <c r="E101" s="0" t="s">
        <v>50</v>
      </c>
      <c r="F101" s="0" t="s">
        <v>44</v>
      </c>
      <c r="G101" s="0" t="s">
        <v>47</v>
      </c>
      <c r="H101" s="6" t="n">
        <v>45.2</v>
      </c>
      <c r="I101" s="6" t="n">
        <v>100</v>
      </c>
    </row>
    <row r="102" customFormat="false" ht="15" hidden="false" customHeight="false" outlineLevel="0" collapsed="false">
      <c r="A102" s="0" t="n">
        <v>2023</v>
      </c>
      <c r="B102" s="0" t="n">
        <v>1</v>
      </c>
      <c r="C102" s="0" t="s">
        <v>66</v>
      </c>
      <c r="D102" s="0" t="s">
        <v>51</v>
      </c>
      <c r="E102" s="0" t="s">
        <v>50</v>
      </c>
      <c r="F102" s="0" t="s">
        <v>44</v>
      </c>
      <c r="G102" s="0" t="s">
        <v>47</v>
      </c>
      <c r="H102" s="6" t="n">
        <v>43.9</v>
      </c>
      <c r="I102" s="6" t="n">
        <v>100</v>
      </c>
    </row>
    <row r="103" customFormat="false" ht="15" hidden="false" customHeight="false" outlineLevel="0" collapsed="false">
      <c r="A103" s="0" t="n">
        <v>2023</v>
      </c>
      <c r="B103" s="0" t="n">
        <v>1</v>
      </c>
      <c r="C103" s="0" t="s">
        <v>66</v>
      </c>
      <c r="D103" s="0" t="s">
        <v>52</v>
      </c>
      <c r="E103" s="0" t="s">
        <v>52</v>
      </c>
      <c r="F103" s="0" t="s">
        <v>44</v>
      </c>
      <c r="G103" s="0" t="s">
        <v>47</v>
      </c>
      <c r="H103" s="6" t="n">
        <v>47.3</v>
      </c>
      <c r="I103" s="6" t="n">
        <v>100</v>
      </c>
    </row>
    <row r="104" customFormat="false" ht="15" hidden="false" customHeight="false" outlineLevel="0" collapsed="false">
      <c r="A104" s="0" t="n">
        <v>2023</v>
      </c>
      <c r="B104" s="0" t="n">
        <v>1</v>
      </c>
      <c r="C104" s="0" t="s">
        <v>66</v>
      </c>
      <c r="D104" s="0" t="s">
        <v>42</v>
      </c>
      <c r="E104" s="0" t="s">
        <v>43</v>
      </c>
      <c r="F104" s="0" t="s">
        <v>53</v>
      </c>
      <c r="G104" s="0" t="s">
        <v>45</v>
      </c>
      <c r="H104" s="6" t="n">
        <v>20.7</v>
      </c>
      <c r="I104" s="6" t="n">
        <v>97.4</v>
      </c>
    </row>
    <row r="105" customFormat="false" ht="15" hidden="false" customHeight="false" outlineLevel="0" collapsed="false">
      <c r="A105" s="0" t="n">
        <v>2023</v>
      </c>
      <c r="B105" s="0" t="n">
        <v>1</v>
      </c>
      <c r="C105" s="0" t="s">
        <v>66</v>
      </c>
      <c r="D105" s="0" t="s">
        <v>54</v>
      </c>
      <c r="E105" s="0" t="s">
        <v>43</v>
      </c>
      <c r="F105" s="0" t="s">
        <v>53</v>
      </c>
      <c r="G105" s="0" t="s">
        <v>45</v>
      </c>
      <c r="H105" s="6" t="n">
        <v>18.2</v>
      </c>
      <c r="I105" s="6" t="n">
        <v>96.3</v>
      </c>
    </row>
    <row r="106" customFormat="false" ht="15" hidden="false" customHeight="false" outlineLevel="0" collapsed="false">
      <c r="A106" s="0" t="n">
        <v>2023</v>
      </c>
      <c r="B106" s="0" t="n">
        <v>2</v>
      </c>
      <c r="C106" s="0" t="s">
        <v>67</v>
      </c>
      <c r="D106" s="0" t="s">
        <v>42</v>
      </c>
      <c r="E106" s="0" t="s">
        <v>43</v>
      </c>
      <c r="F106" s="0" t="s">
        <v>44</v>
      </c>
      <c r="G106" s="0" t="s">
        <v>45</v>
      </c>
      <c r="H106" s="6" t="n">
        <v>57.2</v>
      </c>
      <c r="I106" s="6" t="n">
        <v>97.1</v>
      </c>
    </row>
    <row r="107" customFormat="false" ht="15" hidden="false" customHeight="false" outlineLevel="0" collapsed="false">
      <c r="A107" s="0" t="n">
        <v>2023</v>
      </c>
      <c r="B107" s="0" t="n">
        <v>2</v>
      </c>
      <c r="C107" s="0" t="s">
        <v>67</v>
      </c>
      <c r="D107" s="0" t="s">
        <v>46</v>
      </c>
      <c r="E107" s="0" t="s">
        <v>43</v>
      </c>
      <c r="F107" s="0" t="s">
        <v>44</v>
      </c>
      <c r="G107" s="0" t="s">
        <v>47</v>
      </c>
      <c r="H107" s="6" t="n">
        <v>47.4</v>
      </c>
      <c r="I107" s="6" t="n">
        <v>100</v>
      </c>
    </row>
    <row r="108" customFormat="false" ht="15" hidden="false" customHeight="false" outlineLevel="0" collapsed="false">
      <c r="A108" s="0" t="n">
        <v>2023</v>
      </c>
      <c r="B108" s="0" t="n">
        <v>2</v>
      </c>
      <c r="C108" s="0" t="s">
        <v>67</v>
      </c>
      <c r="D108" s="0" t="s">
        <v>48</v>
      </c>
      <c r="E108" s="0" t="s">
        <v>43</v>
      </c>
      <c r="F108" s="0" t="s">
        <v>44</v>
      </c>
      <c r="G108" s="0" t="s">
        <v>47</v>
      </c>
      <c r="H108" s="6" t="n">
        <v>43.6</v>
      </c>
      <c r="I108" s="6" t="n">
        <v>100</v>
      </c>
    </row>
    <row r="109" customFormat="false" ht="15" hidden="false" customHeight="false" outlineLevel="0" collapsed="false">
      <c r="A109" s="0" t="n">
        <v>2023</v>
      </c>
      <c r="B109" s="0" t="n">
        <v>2</v>
      </c>
      <c r="C109" s="0" t="s">
        <v>67</v>
      </c>
      <c r="D109" s="0" t="s">
        <v>49</v>
      </c>
      <c r="E109" s="0" t="s">
        <v>50</v>
      </c>
      <c r="F109" s="0" t="s">
        <v>44</v>
      </c>
      <c r="G109" s="0" t="s">
        <v>47</v>
      </c>
      <c r="H109" s="6" t="n">
        <v>46.6</v>
      </c>
      <c r="I109" s="6" t="n">
        <v>100</v>
      </c>
    </row>
    <row r="110" customFormat="false" ht="15" hidden="false" customHeight="false" outlineLevel="0" collapsed="false">
      <c r="A110" s="0" t="n">
        <v>2023</v>
      </c>
      <c r="B110" s="0" t="n">
        <v>2</v>
      </c>
      <c r="C110" s="0" t="s">
        <v>67</v>
      </c>
      <c r="D110" s="0" t="s">
        <v>51</v>
      </c>
      <c r="E110" s="0" t="s">
        <v>50</v>
      </c>
      <c r="F110" s="0" t="s">
        <v>44</v>
      </c>
      <c r="G110" s="0" t="s">
        <v>47</v>
      </c>
      <c r="H110" s="6" t="n">
        <v>40.1</v>
      </c>
      <c r="I110" s="6" t="n">
        <v>100</v>
      </c>
    </row>
    <row r="111" customFormat="false" ht="15" hidden="false" customHeight="false" outlineLevel="0" collapsed="false">
      <c r="A111" s="0" t="n">
        <v>2023</v>
      </c>
      <c r="B111" s="0" t="n">
        <v>2</v>
      </c>
      <c r="C111" s="0" t="s">
        <v>67</v>
      </c>
      <c r="D111" s="0" t="s">
        <v>52</v>
      </c>
      <c r="E111" s="0" t="s">
        <v>52</v>
      </c>
      <c r="F111" s="0" t="s">
        <v>44</v>
      </c>
      <c r="G111" s="0" t="s">
        <v>47</v>
      </c>
      <c r="H111" s="6" t="n">
        <v>43.7</v>
      </c>
      <c r="I111" s="6" t="n">
        <v>100</v>
      </c>
    </row>
    <row r="112" customFormat="false" ht="15" hidden="false" customHeight="false" outlineLevel="0" collapsed="false">
      <c r="A112" s="0" t="n">
        <v>2023</v>
      </c>
      <c r="B112" s="0" t="n">
        <v>2</v>
      </c>
      <c r="C112" s="0" t="s">
        <v>67</v>
      </c>
      <c r="D112" s="0" t="s">
        <v>42</v>
      </c>
      <c r="E112" s="0" t="s">
        <v>43</v>
      </c>
      <c r="F112" s="0" t="s">
        <v>53</v>
      </c>
      <c r="G112" s="0" t="s">
        <v>45</v>
      </c>
      <c r="H112" s="6" t="n">
        <v>21.8</v>
      </c>
      <c r="I112" s="6" t="n">
        <v>98.2</v>
      </c>
    </row>
    <row r="113" customFormat="false" ht="15" hidden="false" customHeight="false" outlineLevel="0" collapsed="false">
      <c r="A113" s="0" t="n">
        <v>2023</v>
      </c>
      <c r="B113" s="0" t="n">
        <v>2</v>
      </c>
      <c r="C113" s="0" t="s">
        <v>67</v>
      </c>
      <c r="D113" s="0" t="s">
        <v>54</v>
      </c>
      <c r="E113" s="0" t="s">
        <v>43</v>
      </c>
      <c r="F113" s="0" t="s">
        <v>53</v>
      </c>
      <c r="G113" s="0" t="s">
        <v>45</v>
      </c>
      <c r="H113" s="6" t="n">
        <v>17.4</v>
      </c>
      <c r="I113" s="6" t="n">
        <v>97.6</v>
      </c>
    </row>
    <row r="114" customFormat="false" ht="15" hidden="false" customHeight="false" outlineLevel="0" collapsed="false">
      <c r="A114" s="0" t="n">
        <v>2023</v>
      </c>
      <c r="B114" s="0" t="n">
        <v>3</v>
      </c>
      <c r="C114" s="0" t="s">
        <v>68</v>
      </c>
      <c r="D114" s="0" t="s">
        <v>42</v>
      </c>
      <c r="E114" s="0" t="s">
        <v>43</v>
      </c>
      <c r="F114" s="0" t="s">
        <v>44</v>
      </c>
      <c r="G114" s="0" t="s">
        <v>45</v>
      </c>
      <c r="H114" s="6" t="n">
        <v>48.9</v>
      </c>
      <c r="I114" s="6" t="n">
        <v>96.1</v>
      </c>
    </row>
    <row r="115" customFormat="false" ht="15" hidden="false" customHeight="false" outlineLevel="0" collapsed="false">
      <c r="A115" s="0" t="n">
        <v>2023</v>
      </c>
      <c r="B115" s="0" t="n">
        <v>3</v>
      </c>
      <c r="C115" s="0" t="s">
        <v>68</v>
      </c>
      <c r="D115" s="0" t="s">
        <v>46</v>
      </c>
      <c r="E115" s="0" t="s">
        <v>43</v>
      </c>
      <c r="F115" s="0" t="s">
        <v>44</v>
      </c>
      <c r="G115" s="0" t="s">
        <v>47</v>
      </c>
      <c r="H115" s="6" t="n">
        <v>44.2</v>
      </c>
      <c r="I115" s="6" t="n">
        <v>100</v>
      </c>
    </row>
    <row r="116" customFormat="false" ht="15" hidden="false" customHeight="false" outlineLevel="0" collapsed="false">
      <c r="A116" s="0" t="n">
        <v>2023</v>
      </c>
      <c r="B116" s="0" t="n">
        <v>3</v>
      </c>
      <c r="C116" s="0" t="s">
        <v>68</v>
      </c>
      <c r="D116" s="0" t="s">
        <v>48</v>
      </c>
      <c r="E116" s="0" t="s">
        <v>43</v>
      </c>
      <c r="F116" s="0" t="s">
        <v>44</v>
      </c>
      <c r="G116" s="0" t="s">
        <v>47</v>
      </c>
      <c r="H116" s="6" t="n">
        <v>40.4</v>
      </c>
      <c r="I116" s="6" t="n">
        <v>100</v>
      </c>
    </row>
    <row r="117" customFormat="false" ht="15" hidden="false" customHeight="false" outlineLevel="0" collapsed="false">
      <c r="A117" s="0" t="n">
        <v>2023</v>
      </c>
      <c r="B117" s="0" t="n">
        <v>3</v>
      </c>
      <c r="C117" s="0" t="s">
        <v>68</v>
      </c>
      <c r="D117" s="0" t="s">
        <v>49</v>
      </c>
      <c r="E117" s="0" t="s">
        <v>50</v>
      </c>
      <c r="F117" s="0" t="s">
        <v>44</v>
      </c>
      <c r="G117" s="0" t="s">
        <v>47</v>
      </c>
      <c r="H117" s="6" t="n">
        <v>40.9</v>
      </c>
      <c r="I117" s="6" t="n">
        <v>100</v>
      </c>
    </row>
    <row r="118" customFormat="false" ht="15" hidden="false" customHeight="false" outlineLevel="0" collapsed="false">
      <c r="A118" s="0" t="n">
        <v>2023</v>
      </c>
      <c r="B118" s="0" t="n">
        <v>3</v>
      </c>
      <c r="C118" s="0" t="s">
        <v>68</v>
      </c>
      <c r="D118" s="0" t="s">
        <v>51</v>
      </c>
      <c r="E118" s="0" t="s">
        <v>50</v>
      </c>
      <c r="F118" s="0" t="s">
        <v>44</v>
      </c>
      <c r="G118" s="0" t="s">
        <v>47</v>
      </c>
      <c r="H118" s="6" t="n">
        <v>37</v>
      </c>
      <c r="I118" s="6" t="n">
        <v>100</v>
      </c>
    </row>
    <row r="119" customFormat="false" ht="15" hidden="false" customHeight="false" outlineLevel="0" collapsed="false">
      <c r="A119" s="0" t="n">
        <v>2023</v>
      </c>
      <c r="B119" s="0" t="n">
        <v>3</v>
      </c>
      <c r="C119" s="0" t="s">
        <v>68</v>
      </c>
      <c r="D119" s="0" t="s">
        <v>52</v>
      </c>
      <c r="E119" s="0" t="s">
        <v>52</v>
      </c>
      <c r="F119" s="0" t="s">
        <v>44</v>
      </c>
      <c r="G119" s="0" t="s">
        <v>47</v>
      </c>
      <c r="H119" s="6" t="n">
        <v>39.3</v>
      </c>
      <c r="I119" s="6" t="n">
        <v>100</v>
      </c>
    </row>
    <row r="120" customFormat="false" ht="15" hidden="false" customHeight="false" outlineLevel="0" collapsed="false">
      <c r="A120" s="0" t="n">
        <v>2023</v>
      </c>
      <c r="B120" s="0" t="n">
        <v>3</v>
      </c>
      <c r="C120" s="0" t="s">
        <v>68</v>
      </c>
      <c r="D120" s="0" t="s">
        <v>42</v>
      </c>
      <c r="E120" s="0" t="s">
        <v>43</v>
      </c>
      <c r="F120" s="0" t="s">
        <v>53</v>
      </c>
      <c r="G120" s="0" t="s">
        <v>45</v>
      </c>
      <c r="H120" s="6" t="n">
        <v>19.4</v>
      </c>
      <c r="I120" s="6" t="n">
        <v>96.1</v>
      </c>
    </row>
    <row r="121" customFormat="false" ht="15" hidden="false" customHeight="false" outlineLevel="0" collapsed="false">
      <c r="A121" s="0" t="n">
        <v>2023</v>
      </c>
      <c r="B121" s="0" t="n">
        <v>3</v>
      </c>
      <c r="C121" s="0" t="s">
        <v>68</v>
      </c>
      <c r="D121" s="0" t="s">
        <v>54</v>
      </c>
      <c r="E121" s="0" t="s">
        <v>43</v>
      </c>
      <c r="F121" s="0" t="s">
        <v>53</v>
      </c>
      <c r="G121" s="0" t="s">
        <v>45</v>
      </c>
      <c r="H121" s="6" t="n">
        <v>16.8</v>
      </c>
      <c r="I121" s="6" t="n">
        <v>99.3</v>
      </c>
    </row>
    <row r="122" customFormat="false" ht="15" hidden="false" customHeight="false" outlineLevel="0" collapsed="false">
      <c r="A122" s="0" t="n">
        <v>2023</v>
      </c>
      <c r="B122" s="0" t="n">
        <v>4</v>
      </c>
      <c r="C122" s="0" t="s">
        <v>69</v>
      </c>
      <c r="D122" s="0" t="s">
        <v>42</v>
      </c>
      <c r="E122" s="0" t="s">
        <v>43</v>
      </c>
      <c r="F122" s="0" t="s">
        <v>44</v>
      </c>
      <c r="G122" s="0" t="s">
        <v>45</v>
      </c>
      <c r="H122" s="6" t="n">
        <v>44.9</v>
      </c>
      <c r="I122" s="6" t="n">
        <v>96.2</v>
      </c>
    </row>
    <row r="123" customFormat="false" ht="15" hidden="false" customHeight="false" outlineLevel="0" collapsed="false">
      <c r="A123" s="0" t="n">
        <v>2023</v>
      </c>
      <c r="B123" s="0" t="n">
        <v>4</v>
      </c>
      <c r="C123" s="0" t="s">
        <v>69</v>
      </c>
      <c r="D123" s="0" t="s">
        <v>46</v>
      </c>
      <c r="E123" s="0" t="s">
        <v>43</v>
      </c>
      <c r="F123" s="0" t="s">
        <v>44</v>
      </c>
      <c r="G123" s="0" t="s">
        <v>47</v>
      </c>
      <c r="H123" s="6" t="n">
        <v>42.2</v>
      </c>
      <c r="I123" s="6" t="n">
        <v>100</v>
      </c>
    </row>
    <row r="124" customFormat="false" ht="15" hidden="false" customHeight="false" outlineLevel="0" collapsed="false">
      <c r="A124" s="0" t="n">
        <v>2023</v>
      </c>
      <c r="B124" s="0" t="n">
        <v>4</v>
      </c>
      <c r="C124" s="0" t="s">
        <v>69</v>
      </c>
      <c r="D124" s="0" t="s">
        <v>48</v>
      </c>
      <c r="E124" s="0" t="s">
        <v>43</v>
      </c>
      <c r="F124" s="0" t="s">
        <v>44</v>
      </c>
      <c r="G124" s="0" t="s">
        <v>47</v>
      </c>
      <c r="H124" s="6" t="n">
        <v>35.9</v>
      </c>
      <c r="I124" s="6" t="n">
        <v>100</v>
      </c>
    </row>
    <row r="125" customFormat="false" ht="15" hidden="false" customHeight="false" outlineLevel="0" collapsed="false">
      <c r="A125" s="0" t="n">
        <v>2023</v>
      </c>
      <c r="B125" s="0" t="n">
        <v>4</v>
      </c>
      <c r="C125" s="0" t="s">
        <v>69</v>
      </c>
      <c r="D125" s="0" t="s">
        <v>49</v>
      </c>
      <c r="E125" s="0" t="s">
        <v>50</v>
      </c>
      <c r="F125" s="0" t="s">
        <v>44</v>
      </c>
      <c r="G125" s="0" t="s">
        <v>47</v>
      </c>
      <c r="H125" s="6" t="n">
        <v>37.4</v>
      </c>
      <c r="I125" s="6" t="n">
        <v>100</v>
      </c>
    </row>
    <row r="126" customFormat="false" ht="15" hidden="false" customHeight="false" outlineLevel="0" collapsed="false">
      <c r="A126" s="0" t="n">
        <v>2023</v>
      </c>
      <c r="B126" s="0" t="n">
        <v>4</v>
      </c>
      <c r="C126" s="0" t="s">
        <v>69</v>
      </c>
      <c r="D126" s="0" t="s">
        <v>51</v>
      </c>
      <c r="E126" s="0" t="s">
        <v>50</v>
      </c>
      <c r="F126" s="0" t="s">
        <v>44</v>
      </c>
      <c r="G126" s="0" t="s">
        <v>47</v>
      </c>
      <c r="H126" s="6" t="n">
        <v>36.7</v>
      </c>
      <c r="I126" s="6" t="n">
        <v>100</v>
      </c>
    </row>
    <row r="127" customFormat="false" ht="15" hidden="false" customHeight="false" outlineLevel="0" collapsed="false">
      <c r="A127" s="0" t="n">
        <v>2023</v>
      </c>
      <c r="B127" s="0" t="n">
        <v>4</v>
      </c>
      <c r="C127" s="0" t="s">
        <v>69</v>
      </c>
      <c r="D127" s="0" t="s">
        <v>52</v>
      </c>
      <c r="E127" s="0" t="s">
        <v>52</v>
      </c>
      <c r="F127" s="0" t="s">
        <v>44</v>
      </c>
      <c r="G127" s="0" t="s">
        <v>47</v>
      </c>
      <c r="H127" s="6" t="n">
        <v>38.2</v>
      </c>
      <c r="I127" s="6" t="n">
        <v>100</v>
      </c>
    </row>
    <row r="128" customFormat="false" ht="15" hidden="false" customHeight="false" outlineLevel="0" collapsed="false">
      <c r="A128" s="0" t="n">
        <v>2023</v>
      </c>
      <c r="B128" s="0" t="n">
        <v>4</v>
      </c>
      <c r="C128" s="0" t="s">
        <v>69</v>
      </c>
      <c r="D128" s="0" t="s">
        <v>42</v>
      </c>
      <c r="E128" s="0" t="s">
        <v>43</v>
      </c>
      <c r="F128" s="0" t="s">
        <v>53</v>
      </c>
      <c r="G128" s="0" t="s">
        <v>45</v>
      </c>
      <c r="H128" s="6" t="n">
        <v>17.6</v>
      </c>
      <c r="I128" s="6" t="n">
        <v>98.9</v>
      </c>
    </row>
    <row r="129" customFormat="false" ht="15" hidden="false" customHeight="false" outlineLevel="0" collapsed="false">
      <c r="A129" s="0" t="n">
        <v>2023</v>
      </c>
      <c r="B129" s="0" t="n">
        <v>4</v>
      </c>
      <c r="C129" s="0" t="s">
        <v>69</v>
      </c>
      <c r="D129" s="0" t="s">
        <v>54</v>
      </c>
      <c r="E129" s="0" t="s">
        <v>43</v>
      </c>
      <c r="F129" s="0" t="s">
        <v>53</v>
      </c>
      <c r="G129" s="0" t="s">
        <v>45</v>
      </c>
      <c r="H129" s="6" t="n">
        <v>15.4</v>
      </c>
      <c r="I129" s="6" t="n">
        <v>96</v>
      </c>
    </row>
    <row r="130" customFormat="false" ht="15" hidden="false" customHeight="false" outlineLevel="0" collapsed="false">
      <c r="A130" s="0" t="n">
        <v>2023</v>
      </c>
      <c r="B130" s="0" t="n">
        <v>5</v>
      </c>
      <c r="C130" s="0" t="s">
        <v>70</v>
      </c>
      <c r="D130" s="0" t="s">
        <v>42</v>
      </c>
      <c r="E130" s="0" t="s">
        <v>43</v>
      </c>
      <c r="F130" s="0" t="s">
        <v>44</v>
      </c>
      <c r="G130" s="0" t="s">
        <v>45</v>
      </c>
      <c r="H130" s="6" t="n">
        <v>42.7</v>
      </c>
      <c r="I130" s="6" t="n">
        <v>97.2</v>
      </c>
    </row>
    <row r="131" customFormat="false" ht="15" hidden="false" customHeight="false" outlineLevel="0" collapsed="false">
      <c r="A131" s="0" t="n">
        <v>2023</v>
      </c>
      <c r="B131" s="0" t="n">
        <v>5</v>
      </c>
      <c r="C131" s="0" t="s">
        <v>70</v>
      </c>
      <c r="D131" s="0" t="s">
        <v>46</v>
      </c>
      <c r="E131" s="0" t="s">
        <v>43</v>
      </c>
      <c r="F131" s="0" t="s">
        <v>44</v>
      </c>
      <c r="G131" s="0" t="s">
        <v>47</v>
      </c>
      <c r="H131" s="6" t="n">
        <v>39.1</v>
      </c>
      <c r="I131" s="6" t="n">
        <v>100</v>
      </c>
    </row>
    <row r="132" customFormat="false" ht="15" hidden="false" customHeight="false" outlineLevel="0" collapsed="false">
      <c r="A132" s="0" t="n">
        <v>2023</v>
      </c>
      <c r="B132" s="0" t="n">
        <v>5</v>
      </c>
      <c r="C132" s="0" t="s">
        <v>70</v>
      </c>
      <c r="D132" s="0" t="s">
        <v>48</v>
      </c>
      <c r="E132" s="0" t="s">
        <v>43</v>
      </c>
      <c r="F132" s="0" t="s">
        <v>44</v>
      </c>
      <c r="G132" s="0" t="s">
        <v>47</v>
      </c>
      <c r="H132" s="6" t="n">
        <v>35</v>
      </c>
      <c r="I132" s="6" t="n">
        <v>100</v>
      </c>
    </row>
    <row r="133" customFormat="false" ht="15" hidden="false" customHeight="false" outlineLevel="0" collapsed="false">
      <c r="A133" s="0" t="n">
        <v>2023</v>
      </c>
      <c r="B133" s="0" t="n">
        <v>5</v>
      </c>
      <c r="C133" s="0" t="s">
        <v>70</v>
      </c>
      <c r="D133" s="0" t="s">
        <v>49</v>
      </c>
      <c r="E133" s="0" t="s">
        <v>50</v>
      </c>
      <c r="F133" s="0" t="s">
        <v>44</v>
      </c>
      <c r="G133" s="0" t="s">
        <v>47</v>
      </c>
      <c r="H133" s="6" t="n">
        <v>37.6</v>
      </c>
      <c r="I133" s="6" t="n">
        <v>100</v>
      </c>
    </row>
    <row r="134" customFormat="false" ht="15" hidden="false" customHeight="false" outlineLevel="0" collapsed="false">
      <c r="A134" s="0" t="n">
        <v>2023</v>
      </c>
      <c r="B134" s="0" t="n">
        <v>5</v>
      </c>
      <c r="C134" s="0" t="s">
        <v>70</v>
      </c>
      <c r="D134" s="0" t="s">
        <v>51</v>
      </c>
      <c r="E134" s="0" t="s">
        <v>50</v>
      </c>
      <c r="F134" s="0" t="s">
        <v>44</v>
      </c>
      <c r="G134" s="0" t="s">
        <v>47</v>
      </c>
      <c r="H134" s="6" t="n">
        <v>33.9</v>
      </c>
      <c r="I134" s="6" t="n">
        <v>100</v>
      </c>
    </row>
    <row r="135" customFormat="false" ht="15" hidden="false" customHeight="false" outlineLevel="0" collapsed="false">
      <c r="A135" s="0" t="n">
        <v>2023</v>
      </c>
      <c r="B135" s="0" t="n">
        <v>5</v>
      </c>
      <c r="C135" s="0" t="s">
        <v>70</v>
      </c>
      <c r="D135" s="0" t="s">
        <v>52</v>
      </c>
      <c r="E135" s="0" t="s">
        <v>52</v>
      </c>
      <c r="F135" s="0" t="s">
        <v>44</v>
      </c>
      <c r="G135" s="0" t="s">
        <v>47</v>
      </c>
      <c r="H135" s="6" t="n">
        <v>37.7</v>
      </c>
      <c r="I135" s="6" t="n">
        <v>100</v>
      </c>
    </row>
    <row r="136" customFormat="false" ht="15" hidden="false" customHeight="false" outlineLevel="0" collapsed="false">
      <c r="A136" s="0" t="n">
        <v>2023</v>
      </c>
      <c r="B136" s="0" t="n">
        <v>5</v>
      </c>
      <c r="C136" s="0" t="s">
        <v>70</v>
      </c>
      <c r="D136" s="0" t="s">
        <v>42</v>
      </c>
      <c r="E136" s="0" t="s">
        <v>43</v>
      </c>
      <c r="F136" s="0" t="s">
        <v>53</v>
      </c>
      <c r="G136" s="0" t="s">
        <v>45</v>
      </c>
      <c r="H136" s="6" t="n">
        <v>16.1</v>
      </c>
      <c r="I136" s="6" t="n">
        <v>97</v>
      </c>
    </row>
    <row r="137" customFormat="false" ht="15" hidden="false" customHeight="false" outlineLevel="0" collapsed="false">
      <c r="A137" s="0" t="n">
        <v>2023</v>
      </c>
      <c r="B137" s="0" t="n">
        <v>5</v>
      </c>
      <c r="C137" s="0" t="s">
        <v>70</v>
      </c>
      <c r="D137" s="0" t="s">
        <v>54</v>
      </c>
      <c r="E137" s="0" t="s">
        <v>43</v>
      </c>
      <c r="F137" s="0" t="s">
        <v>53</v>
      </c>
      <c r="G137" s="0" t="s">
        <v>45</v>
      </c>
      <c r="H137" s="6" t="n">
        <v>13.9</v>
      </c>
      <c r="I137" s="6" t="n">
        <v>99.3</v>
      </c>
    </row>
    <row r="138" customFormat="false" ht="15" hidden="false" customHeight="false" outlineLevel="0" collapsed="false">
      <c r="A138" s="0" t="n">
        <v>2023</v>
      </c>
      <c r="B138" s="0" t="n">
        <v>6</v>
      </c>
      <c r="C138" s="0" t="s">
        <v>71</v>
      </c>
      <c r="D138" s="0" t="s">
        <v>42</v>
      </c>
      <c r="E138" s="0" t="s">
        <v>43</v>
      </c>
      <c r="F138" s="0" t="s">
        <v>44</v>
      </c>
      <c r="G138" s="0" t="s">
        <v>45</v>
      </c>
      <c r="H138" s="6" t="n">
        <v>41.5</v>
      </c>
      <c r="I138" s="6" t="n">
        <v>96</v>
      </c>
    </row>
    <row r="139" customFormat="false" ht="15" hidden="false" customHeight="false" outlineLevel="0" collapsed="false">
      <c r="A139" s="0" t="n">
        <v>2023</v>
      </c>
      <c r="B139" s="0" t="n">
        <v>6</v>
      </c>
      <c r="C139" s="0" t="s">
        <v>71</v>
      </c>
      <c r="D139" s="0" t="s">
        <v>46</v>
      </c>
      <c r="E139" s="0" t="s">
        <v>43</v>
      </c>
      <c r="F139" s="0" t="s">
        <v>44</v>
      </c>
      <c r="G139" s="0" t="s">
        <v>47</v>
      </c>
      <c r="H139" s="6" t="n">
        <v>37.5</v>
      </c>
      <c r="I139" s="6" t="n">
        <v>100</v>
      </c>
    </row>
    <row r="140" customFormat="false" ht="15" hidden="false" customHeight="false" outlineLevel="0" collapsed="false">
      <c r="A140" s="0" t="n">
        <v>2023</v>
      </c>
      <c r="B140" s="0" t="n">
        <v>6</v>
      </c>
      <c r="C140" s="0" t="s">
        <v>71</v>
      </c>
      <c r="D140" s="0" t="s">
        <v>48</v>
      </c>
      <c r="E140" s="0" t="s">
        <v>43</v>
      </c>
      <c r="F140" s="0" t="s">
        <v>44</v>
      </c>
      <c r="G140" s="0" t="s">
        <v>47</v>
      </c>
      <c r="H140" s="6" t="n">
        <v>33.3</v>
      </c>
      <c r="I140" s="6" t="n">
        <v>100</v>
      </c>
    </row>
    <row r="141" customFormat="false" ht="15" hidden="false" customHeight="false" outlineLevel="0" collapsed="false">
      <c r="A141" s="0" t="n">
        <v>2023</v>
      </c>
      <c r="B141" s="0" t="n">
        <v>6</v>
      </c>
      <c r="C141" s="0" t="s">
        <v>71</v>
      </c>
      <c r="D141" s="0" t="s">
        <v>49</v>
      </c>
      <c r="E141" s="0" t="s">
        <v>50</v>
      </c>
      <c r="F141" s="0" t="s">
        <v>44</v>
      </c>
      <c r="G141" s="0" t="s">
        <v>47</v>
      </c>
      <c r="H141" s="6" t="n">
        <v>34.4</v>
      </c>
      <c r="I141" s="6" t="n">
        <v>100</v>
      </c>
    </row>
    <row r="142" customFormat="false" ht="15" hidden="false" customHeight="false" outlineLevel="0" collapsed="false">
      <c r="A142" s="0" t="n">
        <v>2023</v>
      </c>
      <c r="B142" s="0" t="n">
        <v>6</v>
      </c>
      <c r="C142" s="0" t="s">
        <v>71</v>
      </c>
      <c r="D142" s="0" t="s">
        <v>51</v>
      </c>
      <c r="E142" s="0" t="s">
        <v>50</v>
      </c>
      <c r="F142" s="0" t="s">
        <v>44</v>
      </c>
      <c r="G142" s="0" t="s">
        <v>47</v>
      </c>
      <c r="H142" s="6" t="n">
        <v>31.1</v>
      </c>
      <c r="I142" s="6" t="n">
        <v>100</v>
      </c>
    </row>
    <row r="143" customFormat="false" ht="15" hidden="false" customHeight="false" outlineLevel="0" collapsed="false">
      <c r="A143" s="0" t="n">
        <v>2023</v>
      </c>
      <c r="B143" s="0" t="n">
        <v>6</v>
      </c>
      <c r="C143" s="0" t="s">
        <v>71</v>
      </c>
      <c r="D143" s="0" t="s">
        <v>52</v>
      </c>
      <c r="E143" s="0" t="s">
        <v>52</v>
      </c>
      <c r="F143" s="0" t="s">
        <v>44</v>
      </c>
      <c r="G143" s="0" t="s">
        <v>47</v>
      </c>
      <c r="H143" s="6" t="n">
        <v>35.8</v>
      </c>
      <c r="I143" s="6" t="n">
        <v>100</v>
      </c>
    </row>
    <row r="144" customFormat="false" ht="15" hidden="false" customHeight="false" outlineLevel="0" collapsed="false">
      <c r="A144" s="0" t="n">
        <v>2023</v>
      </c>
      <c r="B144" s="0" t="n">
        <v>6</v>
      </c>
      <c r="C144" s="0" t="s">
        <v>71</v>
      </c>
      <c r="D144" s="0" t="s">
        <v>42</v>
      </c>
      <c r="E144" s="0" t="s">
        <v>43</v>
      </c>
      <c r="F144" s="0" t="s">
        <v>53</v>
      </c>
      <c r="G144" s="0" t="s">
        <v>45</v>
      </c>
      <c r="H144" s="6" t="n">
        <v>16</v>
      </c>
      <c r="I144" s="6" t="n">
        <v>99.3</v>
      </c>
    </row>
    <row r="145" customFormat="false" ht="15" hidden="false" customHeight="false" outlineLevel="0" collapsed="false">
      <c r="A145" s="0" t="n">
        <v>2023</v>
      </c>
      <c r="B145" s="0" t="n">
        <v>6</v>
      </c>
      <c r="C145" s="0" t="s">
        <v>71</v>
      </c>
      <c r="D145" s="0" t="s">
        <v>54</v>
      </c>
      <c r="E145" s="0" t="s">
        <v>43</v>
      </c>
      <c r="F145" s="0" t="s">
        <v>53</v>
      </c>
      <c r="G145" s="0" t="s">
        <v>45</v>
      </c>
      <c r="H145" s="6" t="n">
        <v>13.6</v>
      </c>
      <c r="I145" s="6" t="n">
        <v>95.3</v>
      </c>
    </row>
    <row r="146" customFormat="false" ht="15" hidden="false" customHeight="false" outlineLevel="0" collapsed="false">
      <c r="A146" s="0" t="n">
        <v>2023</v>
      </c>
      <c r="B146" s="0" t="n">
        <v>7</v>
      </c>
      <c r="C146" s="0" t="s">
        <v>72</v>
      </c>
      <c r="D146" s="0" t="s">
        <v>42</v>
      </c>
      <c r="E146" s="0" t="s">
        <v>43</v>
      </c>
      <c r="F146" s="0" t="s">
        <v>44</v>
      </c>
      <c r="G146" s="0" t="s">
        <v>45</v>
      </c>
      <c r="H146" s="6" t="n">
        <v>43.7</v>
      </c>
      <c r="I146" s="6" t="n">
        <v>99.2</v>
      </c>
    </row>
    <row r="147" customFormat="false" ht="15" hidden="false" customHeight="false" outlineLevel="0" collapsed="false">
      <c r="A147" s="0" t="n">
        <v>2023</v>
      </c>
      <c r="B147" s="0" t="n">
        <v>7</v>
      </c>
      <c r="C147" s="0" t="s">
        <v>72</v>
      </c>
      <c r="D147" s="0" t="s">
        <v>46</v>
      </c>
      <c r="E147" s="0" t="s">
        <v>43</v>
      </c>
      <c r="F147" s="0" t="s">
        <v>44</v>
      </c>
      <c r="G147" s="0" t="s">
        <v>47</v>
      </c>
      <c r="H147" s="6" t="n">
        <v>38.5</v>
      </c>
      <c r="I147" s="6" t="n">
        <v>100</v>
      </c>
    </row>
    <row r="148" customFormat="false" ht="15" hidden="false" customHeight="false" outlineLevel="0" collapsed="false">
      <c r="A148" s="0" t="n">
        <v>2023</v>
      </c>
      <c r="B148" s="0" t="n">
        <v>7</v>
      </c>
      <c r="C148" s="0" t="s">
        <v>72</v>
      </c>
      <c r="D148" s="0" t="s">
        <v>48</v>
      </c>
      <c r="E148" s="0" t="s">
        <v>43</v>
      </c>
      <c r="F148" s="0" t="s">
        <v>44</v>
      </c>
      <c r="G148" s="0" t="s">
        <v>47</v>
      </c>
      <c r="H148" s="6" t="n">
        <v>34.2</v>
      </c>
      <c r="I148" s="6" t="n">
        <v>100</v>
      </c>
    </row>
    <row r="149" customFormat="false" ht="15" hidden="false" customHeight="false" outlineLevel="0" collapsed="false">
      <c r="A149" s="0" t="n">
        <v>2023</v>
      </c>
      <c r="B149" s="0" t="n">
        <v>7</v>
      </c>
      <c r="C149" s="0" t="s">
        <v>72</v>
      </c>
      <c r="D149" s="0" t="s">
        <v>49</v>
      </c>
      <c r="E149" s="0" t="s">
        <v>50</v>
      </c>
      <c r="F149" s="0" t="s">
        <v>44</v>
      </c>
      <c r="G149" s="0" t="s">
        <v>47</v>
      </c>
      <c r="H149" s="6" t="n">
        <v>35.6</v>
      </c>
      <c r="I149" s="6" t="n">
        <v>100</v>
      </c>
    </row>
    <row r="150" customFormat="false" ht="15" hidden="false" customHeight="false" outlineLevel="0" collapsed="false">
      <c r="A150" s="0" t="n">
        <v>2023</v>
      </c>
      <c r="B150" s="0" t="n">
        <v>7</v>
      </c>
      <c r="C150" s="0" t="s">
        <v>72</v>
      </c>
      <c r="D150" s="0" t="s">
        <v>51</v>
      </c>
      <c r="E150" s="0" t="s">
        <v>50</v>
      </c>
      <c r="F150" s="0" t="s">
        <v>44</v>
      </c>
      <c r="G150" s="0" t="s">
        <v>47</v>
      </c>
      <c r="H150" s="6" t="n">
        <v>30.2</v>
      </c>
      <c r="I150" s="6" t="n">
        <v>100</v>
      </c>
    </row>
    <row r="151" customFormat="false" ht="15" hidden="false" customHeight="false" outlineLevel="0" collapsed="false">
      <c r="A151" s="0" t="n">
        <v>2023</v>
      </c>
      <c r="B151" s="0" t="n">
        <v>7</v>
      </c>
      <c r="C151" s="0" t="s">
        <v>72</v>
      </c>
      <c r="D151" s="0" t="s">
        <v>52</v>
      </c>
      <c r="E151" s="0" t="s">
        <v>52</v>
      </c>
      <c r="F151" s="0" t="s">
        <v>44</v>
      </c>
      <c r="G151" s="0" t="s">
        <v>47</v>
      </c>
      <c r="H151" s="6" t="n">
        <v>33.5</v>
      </c>
      <c r="I151" s="6" t="n">
        <v>100</v>
      </c>
    </row>
    <row r="152" customFormat="false" ht="15" hidden="false" customHeight="false" outlineLevel="0" collapsed="false">
      <c r="A152" s="0" t="n">
        <v>2023</v>
      </c>
      <c r="B152" s="0" t="n">
        <v>7</v>
      </c>
      <c r="C152" s="0" t="s">
        <v>72</v>
      </c>
      <c r="D152" s="0" t="s">
        <v>42</v>
      </c>
      <c r="E152" s="0" t="s">
        <v>43</v>
      </c>
      <c r="F152" s="0" t="s">
        <v>53</v>
      </c>
      <c r="G152" s="0" t="s">
        <v>45</v>
      </c>
      <c r="H152" s="6" t="n">
        <v>15.2</v>
      </c>
      <c r="I152" s="6" t="n">
        <v>97</v>
      </c>
    </row>
    <row r="153" customFormat="false" ht="15" hidden="false" customHeight="false" outlineLevel="0" collapsed="false">
      <c r="A153" s="0" t="n">
        <v>2023</v>
      </c>
      <c r="B153" s="0" t="n">
        <v>7</v>
      </c>
      <c r="C153" s="0" t="s">
        <v>72</v>
      </c>
      <c r="D153" s="0" t="s">
        <v>54</v>
      </c>
      <c r="E153" s="0" t="s">
        <v>43</v>
      </c>
      <c r="F153" s="0" t="s">
        <v>53</v>
      </c>
      <c r="G153" s="0" t="s">
        <v>45</v>
      </c>
      <c r="H153" s="6" t="n">
        <v>12.6</v>
      </c>
      <c r="I153" s="6" t="n">
        <v>96.9</v>
      </c>
    </row>
    <row r="154" customFormat="false" ht="15" hidden="false" customHeight="false" outlineLevel="0" collapsed="false">
      <c r="A154" s="0" t="n">
        <v>2023</v>
      </c>
      <c r="B154" s="0" t="n">
        <v>8</v>
      </c>
      <c r="C154" s="0" t="s">
        <v>73</v>
      </c>
      <c r="D154" s="0" t="s">
        <v>42</v>
      </c>
      <c r="E154" s="0" t="s">
        <v>43</v>
      </c>
      <c r="F154" s="0" t="s">
        <v>44</v>
      </c>
      <c r="G154" s="0" t="s">
        <v>45</v>
      </c>
      <c r="H154" s="6" t="n">
        <v>44.6</v>
      </c>
      <c r="I154" s="6" t="n">
        <v>96.3</v>
      </c>
    </row>
    <row r="155" customFormat="false" ht="15" hidden="false" customHeight="false" outlineLevel="0" collapsed="false">
      <c r="A155" s="0" t="n">
        <v>2023</v>
      </c>
      <c r="B155" s="0" t="n">
        <v>8</v>
      </c>
      <c r="C155" s="0" t="s">
        <v>73</v>
      </c>
      <c r="D155" s="0" t="s">
        <v>46</v>
      </c>
      <c r="E155" s="0" t="s">
        <v>43</v>
      </c>
      <c r="F155" s="0" t="s">
        <v>44</v>
      </c>
      <c r="G155" s="0" t="s">
        <v>47</v>
      </c>
      <c r="H155" s="6" t="n">
        <v>38.7</v>
      </c>
      <c r="I155" s="6" t="n">
        <v>100</v>
      </c>
    </row>
    <row r="156" customFormat="false" ht="15" hidden="false" customHeight="false" outlineLevel="0" collapsed="false">
      <c r="A156" s="0" t="n">
        <v>2023</v>
      </c>
      <c r="B156" s="0" t="n">
        <v>8</v>
      </c>
      <c r="C156" s="0" t="s">
        <v>73</v>
      </c>
      <c r="D156" s="0" t="s">
        <v>48</v>
      </c>
      <c r="E156" s="0" t="s">
        <v>43</v>
      </c>
      <c r="F156" s="0" t="s">
        <v>44</v>
      </c>
      <c r="G156" s="0" t="s">
        <v>47</v>
      </c>
      <c r="H156" s="6" t="n">
        <v>33.4</v>
      </c>
      <c r="I156" s="6" t="n">
        <v>100</v>
      </c>
    </row>
    <row r="157" customFormat="false" ht="15" hidden="false" customHeight="false" outlineLevel="0" collapsed="false">
      <c r="A157" s="0" t="n">
        <v>2023</v>
      </c>
      <c r="B157" s="0" t="n">
        <v>8</v>
      </c>
      <c r="C157" s="0" t="s">
        <v>73</v>
      </c>
      <c r="D157" s="0" t="s">
        <v>49</v>
      </c>
      <c r="E157" s="0" t="s">
        <v>50</v>
      </c>
      <c r="F157" s="0" t="s">
        <v>44</v>
      </c>
      <c r="G157" s="0" t="s">
        <v>47</v>
      </c>
      <c r="H157" s="6" t="n">
        <v>34.9</v>
      </c>
      <c r="I157" s="6" t="n">
        <v>100</v>
      </c>
    </row>
    <row r="158" customFormat="false" ht="15" hidden="false" customHeight="false" outlineLevel="0" collapsed="false">
      <c r="A158" s="0" t="n">
        <v>2023</v>
      </c>
      <c r="B158" s="0" t="n">
        <v>8</v>
      </c>
      <c r="C158" s="0" t="s">
        <v>73</v>
      </c>
      <c r="D158" s="0" t="s">
        <v>51</v>
      </c>
      <c r="E158" s="0" t="s">
        <v>50</v>
      </c>
      <c r="F158" s="0" t="s">
        <v>44</v>
      </c>
      <c r="G158" s="0" t="s">
        <v>47</v>
      </c>
      <c r="H158" s="6" t="n">
        <v>33.4</v>
      </c>
      <c r="I158" s="6" t="n">
        <v>100</v>
      </c>
    </row>
    <row r="159" customFormat="false" ht="15" hidden="false" customHeight="false" outlineLevel="0" collapsed="false">
      <c r="A159" s="0" t="n">
        <v>2023</v>
      </c>
      <c r="B159" s="0" t="n">
        <v>8</v>
      </c>
      <c r="C159" s="0" t="s">
        <v>73</v>
      </c>
      <c r="D159" s="0" t="s">
        <v>52</v>
      </c>
      <c r="E159" s="0" t="s">
        <v>52</v>
      </c>
      <c r="F159" s="0" t="s">
        <v>44</v>
      </c>
      <c r="G159" s="0" t="s">
        <v>47</v>
      </c>
      <c r="H159" s="6" t="n">
        <v>36.1</v>
      </c>
      <c r="I159" s="6" t="n">
        <v>100</v>
      </c>
    </row>
    <row r="160" customFormat="false" ht="15" hidden="false" customHeight="false" outlineLevel="0" collapsed="false">
      <c r="A160" s="0" t="n">
        <v>2023</v>
      </c>
      <c r="B160" s="0" t="n">
        <v>8</v>
      </c>
      <c r="C160" s="0" t="s">
        <v>73</v>
      </c>
      <c r="D160" s="0" t="s">
        <v>42</v>
      </c>
      <c r="E160" s="0" t="s">
        <v>43</v>
      </c>
      <c r="F160" s="0" t="s">
        <v>53</v>
      </c>
      <c r="G160" s="0" t="s">
        <v>45</v>
      </c>
      <c r="H160" s="6" t="n">
        <v>16.1</v>
      </c>
      <c r="I160" s="6" t="n">
        <v>98.6</v>
      </c>
    </row>
    <row r="161" customFormat="false" ht="15" hidden="false" customHeight="false" outlineLevel="0" collapsed="false">
      <c r="A161" s="0" t="n">
        <v>2023</v>
      </c>
      <c r="B161" s="0" t="n">
        <v>8</v>
      </c>
      <c r="C161" s="0" t="s">
        <v>73</v>
      </c>
      <c r="D161" s="0" t="s">
        <v>54</v>
      </c>
      <c r="E161" s="0" t="s">
        <v>43</v>
      </c>
      <c r="F161" s="0" t="s">
        <v>53</v>
      </c>
      <c r="G161" s="0" t="s">
        <v>45</v>
      </c>
      <c r="H161" s="6" t="n">
        <v>13.1</v>
      </c>
      <c r="I161" s="6" t="n">
        <v>96.5</v>
      </c>
    </row>
    <row r="162" customFormat="false" ht="15" hidden="false" customHeight="false" outlineLevel="0" collapsed="false">
      <c r="A162" s="0" t="n">
        <v>2023</v>
      </c>
      <c r="B162" s="0" t="n">
        <v>9</v>
      </c>
      <c r="C162" s="0" t="s">
        <v>74</v>
      </c>
      <c r="D162" s="0" t="s">
        <v>42</v>
      </c>
      <c r="E162" s="0" t="s">
        <v>43</v>
      </c>
      <c r="F162" s="0" t="s">
        <v>44</v>
      </c>
      <c r="G162" s="0" t="s">
        <v>45</v>
      </c>
      <c r="H162" s="6" t="n">
        <v>48.1</v>
      </c>
      <c r="I162" s="6" t="n">
        <v>97.9</v>
      </c>
    </row>
    <row r="163" customFormat="false" ht="15" hidden="false" customHeight="false" outlineLevel="0" collapsed="false">
      <c r="A163" s="0" t="n">
        <v>2023</v>
      </c>
      <c r="B163" s="0" t="n">
        <v>9</v>
      </c>
      <c r="C163" s="0" t="s">
        <v>74</v>
      </c>
      <c r="D163" s="0" t="s">
        <v>46</v>
      </c>
      <c r="E163" s="0" t="s">
        <v>43</v>
      </c>
      <c r="F163" s="0" t="s">
        <v>44</v>
      </c>
      <c r="G163" s="0" t="s">
        <v>47</v>
      </c>
      <c r="H163" s="6" t="n">
        <v>40.8</v>
      </c>
      <c r="I163" s="6" t="n">
        <v>100</v>
      </c>
    </row>
    <row r="164" customFormat="false" ht="15" hidden="false" customHeight="false" outlineLevel="0" collapsed="false">
      <c r="A164" s="0" t="n">
        <v>2023</v>
      </c>
      <c r="B164" s="0" t="n">
        <v>9</v>
      </c>
      <c r="C164" s="0" t="s">
        <v>74</v>
      </c>
      <c r="D164" s="0" t="s">
        <v>48</v>
      </c>
      <c r="E164" s="0" t="s">
        <v>43</v>
      </c>
      <c r="F164" s="0" t="s">
        <v>44</v>
      </c>
      <c r="G164" s="0" t="s">
        <v>47</v>
      </c>
      <c r="H164" s="6" t="n">
        <v>37.1</v>
      </c>
      <c r="I164" s="6" t="n">
        <v>100</v>
      </c>
    </row>
    <row r="165" customFormat="false" ht="15" hidden="false" customHeight="false" outlineLevel="0" collapsed="false">
      <c r="A165" s="0" t="n">
        <v>2023</v>
      </c>
      <c r="B165" s="0" t="n">
        <v>9</v>
      </c>
      <c r="C165" s="0" t="s">
        <v>74</v>
      </c>
      <c r="D165" s="0" t="s">
        <v>49</v>
      </c>
      <c r="E165" s="0" t="s">
        <v>50</v>
      </c>
      <c r="F165" s="0" t="s">
        <v>44</v>
      </c>
      <c r="G165" s="0" t="s">
        <v>47</v>
      </c>
      <c r="H165" s="6" t="n">
        <v>36.3</v>
      </c>
      <c r="I165" s="6" t="n">
        <v>100</v>
      </c>
    </row>
    <row r="166" customFormat="false" ht="15" hidden="false" customHeight="false" outlineLevel="0" collapsed="false">
      <c r="A166" s="0" t="n">
        <v>2023</v>
      </c>
      <c r="B166" s="0" t="n">
        <v>9</v>
      </c>
      <c r="C166" s="0" t="s">
        <v>74</v>
      </c>
      <c r="D166" s="0" t="s">
        <v>51</v>
      </c>
      <c r="E166" s="0" t="s">
        <v>50</v>
      </c>
      <c r="F166" s="0" t="s">
        <v>44</v>
      </c>
      <c r="G166" s="0" t="s">
        <v>47</v>
      </c>
      <c r="H166" s="6" t="n">
        <v>34.7</v>
      </c>
      <c r="I166" s="6" t="n">
        <v>100</v>
      </c>
    </row>
    <row r="167" customFormat="false" ht="15" hidden="false" customHeight="false" outlineLevel="0" collapsed="false">
      <c r="A167" s="0" t="n">
        <v>2023</v>
      </c>
      <c r="B167" s="0" t="n">
        <v>9</v>
      </c>
      <c r="C167" s="0" t="s">
        <v>74</v>
      </c>
      <c r="D167" s="0" t="s">
        <v>52</v>
      </c>
      <c r="E167" s="0" t="s">
        <v>52</v>
      </c>
      <c r="F167" s="0" t="s">
        <v>44</v>
      </c>
      <c r="G167" s="0" t="s">
        <v>47</v>
      </c>
      <c r="H167" s="6" t="n">
        <v>37.1</v>
      </c>
      <c r="I167" s="6" t="n">
        <v>100</v>
      </c>
    </row>
    <row r="168" customFormat="false" ht="15" hidden="false" customHeight="false" outlineLevel="0" collapsed="false">
      <c r="A168" s="0" t="n">
        <v>2023</v>
      </c>
      <c r="B168" s="0" t="n">
        <v>9</v>
      </c>
      <c r="C168" s="0" t="s">
        <v>74</v>
      </c>
      <c r="D168" s="0" t="s">
        <v>42</v>
      </c>
      <c r="E168" s="0" t="s">
        <v>43</v>
      </c>
      <c r="F168" s="0" t="s">
        <v>53</v>
      </c>
      <c r="G168" s="0" t="s">
        <v>45</v>
      </c>
      <c r="H168" s="6" t="n">
        <v>17.9</v>
      </c>
      <c r="I168" s="6" t="n">
        <v>95.8</v>
      </c>
    </row>
    <row r="169" customFormat="false" ht="15" hidden="false" customHeight="false" outlineLevel="0" collapsed="false">
      <c r="A169" s="0" t="n">
        <v>2023</v>
      </c>
      <c r="B169" s="0" t="n">
        <v>9</v>
      </c>
      <c r="C169" s="0" t="s">
        <v>74</v>
      </c>
      <c r="D169" s="0" t="s">
        <v>54</v>
      </c>
      <c r="E169" s="0" t="s">
        <v>43</v>
      </c>
      <c r="F169" s="0" t="s">
        <v>53</v>
      </c>
      <c r="G169" s="0" t="s">
        <v>45</v>
      </c>
      <c r="H169" s="6" t="n">
        <v>15.3</v>
      </c>
      <c r="I169" s="6" t="n">
        <v>95.4</v>
      </c>
    </row>
    <row r="170" customFormat="false" ht="15" hidden="false" customHeight="false" outlineLevel="0" collapsed="false">
      <c r="A170" s="0" t="n">
        <v>2023</v>
      </c>
      <c r="B170" s="0" t="n">
        <v>10</v>
      </c>
      <c r="C170" s="0" t="s">
        <v>75</v>
      </c>
      <c r="D170" s="0" t="s">
        <v>42</v>
      </c>
      <c r="E170" s="0" t="s">
        <v>43</v>
      </c>
      <c r="F170" s="0" t="s">
        <v>44</v>
      </c>
      <c r="G170" s="0" t="s">
        <v>45</v>
      </c>
      <c r="H170" s="6" t="n">
        <v>48.7</v>
      </c>
      <c r="I170" s="6" t="n">
        <v>98</v>
      </c>
    </row>
    <row r="171" customFormat="false" ht="15" hidden="false" customHeight="false" outlineLevel="0" collapsed="false">
      <c r="A171" s="0" t="n">
        <v>2023</v>
      </c>
      <c r="B171" s="0" t="n">
        <v>10</v>
      </c>
      <c r="C171" s="0" t="s">
        <v>75</v>
      </c>
      <c r="D171" s="0" t="s">
        <v>46</v>
      </c>
      <c r="E171" s="0" t="s">
        <v>43</v>
      </c>
      <c r="F171" s="0" t="s">
        <v>44</v>
      </c>
      <c r="G171" s="0" t="s">
        <v>47</v>
      </c>
      <c r="H171" s="6" t="n">
        <v>45.3</v>
      </c>
      <c r="I171" s="6" t="n">
        <v>100</v>
      </c>
    </row>
    <row r="172" customFormat="false" ht="15" hidden="false" customHeight="false" outlineLevel="0" collapsed="false">
      <c r="A172" s="0" t="n">
        <v>2023</v>
      </c>
      <c r="B172" s="0" t="n">
        <v>10</v>
      </c>
      <c r="C172" s="0" t="s">
        <v>75</v>
      </c>
      <c r="D172" s="0" t="s">
        <v>48</v>
      </c>
      <c r="E172" s="0" t="s">
        <v>43</v>
      </c>
      <c r="F172" s="0" t="s">
        <v>44</v>
      </c>
      <c r="G172" s="0" t="s">
        <v>47</v>
      </c>
      <c r="H172" s="6" t="n">
        <v>38.6</v>
      </c>
      <c r="I172" s="6" t="n">
        <v>100</v>
      </c>
    </row>
    <row r="173" customFormat="false" ht="15" hidden="false" customHeight="false" outlineLevel="0" collapsed="false">
      <c r="A173" s="0" t="n">
        <v>2023</v>
      </c>
      <c r="B173" s="0" t="n">
        <v>10</v>
      </c>
      <c r="C173" s="0" t="s">
        <v>75</v>
      </c>
      <c r="D173" s="0" t="s">
        <v>49</v>
      </c>
      <c r="E173" s="0" t="s">
        <v>50</v>
      </c>
      <c r="F173" s="0" t="s">
        <v>44</v>
      </c>
      <c r="G173" s="0" t="s">
        <v>47</v>
      </c>
      <c r="H173" s="6" t="n">
        <v>40</v>
      </c>
      <c r="I173" s="6" t="n">
        <v>100</v>
      </c>
    </row>
    <row r="174" customFormat="false" ht="15" hidden="false" customHeight="false" outlineLevel="0" collapsed="false">
      <c r="A174" s="0" t="n">
        <v>2023</v>
      </c>
      <c r="B174" s="0" t="n">
        <v>10</v>
      </c>
      <c r="C174" s="0" t="s">
        <v>75</v>
      </c>
      <c r="D174" s="0" t="s">
        <v>51</v>
      </c>
      <c r="E174" s="0" t="s">
        <v>50</v>
      </c>
      <c r="F174" s="0" t="s">
        <v>44</v>
      </c>
      <c r="G174" s="0" t="s">
        <v>47</v>
      </c>
      <c r="H174" s="6" t="n">
        <v>39.2</v>
      </c>
      <c r="I174" s="6" t="n">
        <v>100</v>
      </c>
    </row>
    <row r="175" customFormat="false" ht="15" hidden="false" customHeight="false" outlineLevel="0" collapsed="false">
      <c r="A175" s="0" t="n">
        <v>2023</v>
      </c>
      <c r="B175" s="0" t="n">
        <v>10</v>
      </c>
      <c r="C175" s="0" t="s">
        <v>75</v>
      </c>
      <c r="D175" s="0" t="s">
        <v>52</v>
      </c>
      <c r="E175" s="0" t="s">
        <v>52</v>
      </c>
      <c r="F175" s="0" t="s">
        <v>44</v>
      </c>
      <c r="G175" s="0" t="s">
        <v>47</v>
      </c>
      <c r="H175" s="6" t="n">
        <v>39.6</v>
      </c>
      <c r="I175" s="6" t="n">
        <v>100</v>
      </c>
    </row>
    <row r="176" customFormat="false" ht="15" hidden="false" customHeight="false" outlineLevel="0" collapsed="false">
      <c r="A176" s="0" t="n">
        <v>2023</v>
      </c>
      <c r="B176" s="0" t="n">
        <v>10</v>
      </c>
      <c r="C176" s="0" t="s">
        <v>75</v>
      </c>
      <c r="D176" s="0" t="s">
        <v>42</v>
      </c>
      <c r="E176" s="0" t="s">
        <v>43</v>
      </c>
      <c r="F176" s="0" t="s">
        <v>53</v>
      </c>
      <c r="G176" s="0" t="s">
        <v>45</v>
      </c>
      <c r="H176" s="6" t="n">
        <v>19.1</v>
      </c>
      <c r="I176" s="6" t="n">
        <v>98.1</v>
      </c>
    </row>
    <row r="177" customFormat="false" ht="15" hidden="false" customHeight="false" outlineLevel="0" collapsed="false">
      <c r="A177" s="0" t="n">
        <v>2023</v>
      </c>
      <c r="B177" s="0" t="n">
        <v>10</v>
      </c>
      <c r="C177" s="0" t="s">
        <v>75</v>
      </c>
      <c r="D177" s="0" t="s">
        <v>54</v>
      </c>
      <c r="E177" s="0" t="s">
        <v>43</v>
      </c>
      <c r="F177" s="0" t="s">
        <v>53</v>
      </c>
      <c r="G177" s="0" t="s">
        <v>45</v>
      </c>
      <c r="H177" s="6" t="n">
        <v>15.8</v>
      </c>
      <c r="I177" s="6" t="n">
        <v>97.9</v>
      </c>
    </row>
    <row r="178" customFormat="false" ht="15" hidden="false" customHeight="false" outlineLevel="0" collapsed="false">
      <c r="A178" s="0" t="n">
        <v>2023</v>
      </c>
      <c r="B178" s="0" t="n">
        <v>11</v>
      </c>
      <c r="C178" s="0" t="s">
        <v>76</v>
      </c>
      <c r="D178" s="0" t="s">
        <v>42</v>
      </c>
      <c r="E178" s="0" t="s">
        <v>43</v>
      </c>
      <c r="F178" s="0" t="s">
        <v>44</v>
      </c>
      <c r="G178" s="0" t="s">
        <v>45</v>
      </c>
      <c r="H178" s="6" t="n">
        <v>54.3</v>
      </c>
      <c r="I178" s="6" t="n">
        <v>99.7</v>
      </c>
    </row>
    <row r="179" customFormat="false" ht="15" hidden="false" customHeight="false" outlineLevel="0" collapsed="false">
      <c r="A179" s="0" t="n">
        <v>2023</v>
      </c>
      <c r="B179" s="0" t="n">
        <v>11</v>
      </c>
      <c r="C179" s="0" t="s">
        <v>76</v>
      </c>
      <c r="D179" s="0" t="s">
        <v>46</v>
      </c>
      <c r="E179" s="0" t="s">
        <v>43</v>
      </c>
      <c r="F179" s="0" t="s">
        <v>44</v>
      </c>
      <c r="G179" s="0" t="s">
        <v>47</v>
      </c>
      <c r="H179" s="6" t="n">
        <v>46.5</v>
      </c>
      <c r="I179" s="6" t="n">
        <v>100</v>
      </c>
    </row>
    <row r="180" customFormat="false" ht="15" hidden="false" customHeight="false" outlineLevel="0" collapsed="false">
      <c r="A180" s="0" t="n">
        <v>2023</v>
      </c>
      <c r="B180" s="0" t="n">
        <v>11</v>
      </c>
      <c r="C180" s="0" t="s">
        <v>76</v>
      </c>
      <c r="D180" s="0" t="s">
        <v>48</v>
      </c>
      <c r="E180" s="0" t="s">
        <v>43</v>
      </c>
      <c r="F180" s="0" t="s">
        <v>44</v>
      </c>
      <c r="G180" s="0" t="s">
        <v>47</v>
      </c>
      <c r="H180" s="6" t="n">
        <v>43.6</v>
      </c>
      <c r="I180" s="6" t="n">
        <v>100</v>
      </c>
    </row>
    <row r="181" customFormat="false" ht="15" hidden="false" customHeight="false" outlineLevel="0" collapsed="false">
      <c r="A181" s="0" t="n">
        <v>2023</v>
      </c>
      <c r="B181" s="0" t="n">
        <v>11</v>
      </c>
      <c r="C181" s="0" t="s">
        <v>76</v>
      </c>
      <c r="D181" s="0" t="s">
        <v>49</v>
      </c>
      <c r="E181" s="0" t="s">
        <v>50</v>
      </c>
      <c r="F181" s="0" t="s">
        <v>44</v>
      </c>
      <c r="G181" s="0" t="s">
        <v>47</v>
      </c>
      <c r="H181" s="6" t="n">
        <v>43.6</v>
      </c>
      <c r="I181" s="6" t="n">
        <v>100</v>
      </c>
    </row>
    <row r="182" customFormat="false" ht="15" hidden="false" customHeight="false" outlineLevel="0" collapsed="false">
      <c r="A182" s="0" t="n">
        <v>2023</v>
      </c>
      <c r="B182" s="0" t="n">
        <v>11</v>
      </c>
      <c r="C182" s="0" t="s">
        <v>76</v>
      </c>
      <c r="D182" s="0" t="s">
        <v>51</v>
      </c>
      <c r="E182" s="0" t="s">
        <v>50</v>
      </c>
      <c r="F182" s="0" t="s">
        <v>44</v>
      </c>
      <c r="G182" s="0" t="s">
        <v>47</v>
      </c>
      <c r="H182" s="6" t="n">
        <v>40.2</v>
      </c>
      <c r="I182" s="6" t="n">
        <v>100</v>
      </c>
    </row>
    <row r="183" customFormat="false" ht="15" hidden="false" customHeight="false" outlineLevel="0" collapsed="false">
      <c r="A183" s="0" t="n">
        <v>2023</v>
      </c>
      <c r="B183" s="0" t="n">
        <v>11</v>
      </c>
      <c r="C183" s="0" t="s">
        <v>76</v>
      </c>
      <c r="D183" s="0" t="s">
        <v>52</v>
      </c>
      <c r="E183" s="0" t="s">
        <v>52</v>
      </c>
      <c r="F183" s="0" t="s">
        <v>44</v>
      </c>
      <c r="G183" s="0" t="s">
        <v>47</v>
      </c>
      <c r="H183" s="6" t="n">
        <v>44.5</v>
      </c>
      <c r="I183" s="6" t="n">
        <v>100</v>
      </c>
    </row>
    <row r="184" customFormat="false" ht="15" hidden="false" customHeight="false" outlineLevel="0" collapsed="false">
      <c r="A184" s="0" t="n">
        <v>2023</v>
      </c>
      <c r="B184" s="0" t="n">
        <v>11</v>
      </c>
      <c r="C184" s="0" t="s">
        <v>76</v>
      </c>
      <c r="D184" s="0" t="s">
        <v>42</v>
      </c>
      <c r="E184" s="0" t="s">
        <v>43</v>
      </c>
      <c r="F184" s="0" t="s">
        <v>53</v>
      </c>
      <c r="G184" s="0" t="s">
        <v>45</v>
      </c>
      <c r="H184" s="6" t="n">
        <v>20</v>
      </c>
      <c r="I184" s="6" t="n">
        <v>96.6</v>
      </c>
    </row>
    <row r="185" customFormat="false" ht="15" hidden="false" customHeight="false" outlineLevel="0" collapsed="false">
      <c r="A185" s="0" t="n">
        <v>2023</v>
      </c>
      <c r="B185" s="0" t="n">
        <v>11</v>
      </c>
      <c r="C185" s="0" t="s">
        <v>76</v>
      </c>
      <c r="D185" s="0" t="s">
        <v>54</v>
      </c>
      <c r="E185" s="0" t="s">
        <v>43</v>
      </c>
      <c r="F185" s="0" t="s">
        <v>53</v>
      </c>
      <c r="G185" s="0" t="s">
        <v>45</v>
      </c>
      <c r="H185" s="6" t="n">
        <v>17.6</v>
      </c>
      <c r="I185" s="6" t="n">
        <v>95.4</v>
      </c>
    </row>
    <row r="186" customFormat="false" ht="15" hidden="false" customHeight="false" outlineLevel="0" collapsed="false">
      <c r="A186" s="0" t="n">
        <v>2023</v>
      </c>
      <c r="B186" s="0" t="n">
        <v>12</v>
      </c>
      <c r="C186" s="0" t="s">
        <v>77</v>
      </c>
      <c r="D186" s="0" t="s">
        <v>42</v>
      </c>
      <c r="E186" s="0" t="s">
        <v>43</v>
      </c>
      <c r="F186" s="0" t="s">
        <v>44</v>
      </c>
      <c r="G186" s="0" t="s">
        <v>45</v>
      </c>
      <c r="H186" s="6" t="n">
        <v>57.8</v>
      </c>
      <c r="I186" s="6" t="n">
        <v>100</v>
      </c>
    </row>
    <row r="187" customFormat="false" ht="15" hidden="false" customHeight="false" outlineLevel="0" collapsed="false">
      <c r="A187" s="0" t="n">
        <v>2023</v>
      </c>
      <c r="B187" s="0" t="n">
        <v>12</v>
      </c>
      <c r="C187" s="0" t="s">
        <v>77</v>
      </c>
      <c r="D187" s="0" t="s">
        <v>46</v>
      </c>
      <c r="E187" s="0" t="s">
        <v>43</v>
      </c>
      <c r="F187" s="0" t="s">
        <v>44</v>
      </c>
      <c r="G187" s="0" t="s">
        <v>47</v>
      </c>
      <c r="H187" s="6" t="n">
        <v>53.9</v>
      </c>
      <c r="I187" s="6" t="n">
        <v>100</v>
      </c>
    </row>
    <row r="188" customFormat="false" ht="15" hidden="false" customHeight="false" outlineLevel="0" collapsed="false">
      <c r="A188" s="0" t="n">
        <v>2023</v>
      </c>
      <c r="B188" s="0" t="n">
        <v>12</v>
      </c>
      <c r="C188" s="0" t="s">
        <v>77</v>
      </c>
      <c r="D188" s="0" t="s">
        <v>48</v>
      </c>
      <c r="E188" s="0" t="s">
        <v>43</v>
      </c>
      <c r="F188" s="0" t="s">
        <v>44</v>
      </c>
      <c r="G188" s="0" t="s">
        <v>47</v>
      </c>
      <c r="H188" s="6" t="n">
        <v>43.8</v>
      </c>
      <c r="I188" s="6" t="n">
        <v>100</v>
      </c>
    </row>
    <row r="189" customFormat="false" ht="15" hidden="false" customHeight="false" outlineLevel="0" collapsed="false">
      <c r="A189" s="0" t="n">
        <v>2023</v>
      </c>
      <c r="B189" s="0" t="n">
        <v>12</v>
      </c>
      <c r="C189" s="0" t="s">
        <v>77</v>
      </c>
      <c r="D189" s="0" t="s">
        <v>49</v>
      </c>
      <c r="E189" s="0" t="s">
        <v>50</v>
      </c>
      <c r="F189" s="0" t="s">
        <v>44</v>
      </c>
      <c r="G189" s="0" t="s">
        <v>47</v>
      </c>
      <c r="H189" s="6" t="n">
        <v>46.6</v>
      </c>
      <c r="I189" s="6" t="n">
        <v>100</v>
      </c>
    </row>
    <row r="190" customFormat="false" ht="15" hidden="false" customHeight="false" outlineLevel="0" collapsed="false">
      <c r="A190" s="0" t="n">
        <v>2023</v>
      </c>
      <c r="B190" s="0" t="n">
        <v>12</v>
      </c>
      <c r="C190" s="0" t="s">
        <v>77</v>
      </c>
      <c r="D190" s="0" t="s">
        <v>51</v>
      </c>
      <c r="E190" s="0" t="s">
        <v>50</v>
      </c>
      <c r="F190" s="0" t="s">
        <v>44</v>
      </c>
      <c r="G190" s="0" t="s">
        <v>47</v>
      </c>
      <c r="H190" s="6" t="n">
        <v>42.5</v>
      </c>
      <c r="I190" s="6" t="n">
        <v>100</v>
      </c>
    </row>
    <row r="191" customFormat="false" ht="15" hidden="false" customHeight="false" outlineLevel="0" collapsed="false">
      <c r="A191" s="0" t="n">
        <v>2023</v>
      </c>
      <c r="B191" s="0" t="n">
        <v>12</v>
      </c>
      <c r="C191" s="0" t="s">
        <v>77</v>
      </c>
      <c r="D191" s="0" t="s">
        <v>52</v>
      </c>
      <c r="E191" s="0" t="s">
        <v>52</v>
      </c>
      <c r="F191" s="0" t="s">
        <v>44</v>
      </c>
      <c r="G191" s="0" t="s">
        <v>47</v>
      </c>
      <c r="H191" s="6" t="n">
        <v>48.9</v>
      </c>
      <c r="I191" s="6" t="n">
        <v>100</v>
      </c>
    </row>
    <row r="192" customFormat="false" ht="15" hidden="false" customHeight="false" outlineLevel="0" collapsed="false">
      <c r="A192" s="0" t="n">
        <v>2023</v>
      </c>
      <c r="B192" s="0" t="n">
        <v>12</v>
      </c>
      <c r="C192" s="0" t="s">
        <v>77</v>
      </c>
      <c r="D192" s="0" t="s">
        <v>42</v>
      </c>
      <c r="E192" s="0" t="s">
        <v>43</v>
      </c>
      <c r="F192" s="0" t="s">
        <v>53</v>
      </c>
      <c r="G192" s="0" t="s">
        <v>45</v>
      </c>
      <c r="H192" s="6" t="n">
        <v>22.7</v>
      </c>
      <c r="I192" s="6" t="n">
        <v>99.4</v>
      </c>
    </row>
    <row r="193" customFormat="false" ht="15" hidden="false" customHeight="false" outlineLevel="0" collapsed="false">
      <c r="A193" s="0" t="n">
        <v>2023</v>
      </c>
      <c r="B193" s="0" t="n">
        <v>12</v>
      </c>
      <c r="C193" s="0" t="s">
        <v>77</v>
      </c>
      <c r="D193" s="0" t="s">
        <v>54</v>
      </c>
      <c r="E193" s="0" t="s">
        <v>43</v>
      </c>
      <c r="F193" s="0" t="s">
        <v>53</v>
      </c>
      <c r="G193" s="0" t="s">
        <v>45</v>
      </c>
      <c r="H193" s="6" t="n">
        <v>18.2</v>
      </c>
      <c r="I193" s="6" t="n">
        <v>95.8</v>
      </c>
    </row>
    <row r="194" customFormat="false" ht="15" hidden="false" customHeight="false" outlineLevel="0" collapsed="false">
      <c r="A194" s="0" t="n">
        <v>2024</v>
      </c>
      <c r="B194" s="0" t="n">
        <v>1</v>
      </c>
      <c r="C194" s="0" t="s">
        <v>78</v>
      </c>
      <c r="D194" s="0" t="s">
        <v>42</v>
      </c>
      <c r="E194" s="0" t="s">
        <v>43</v>
      </c>
      <c r="F194" s="0" t="s">
        <v>44</v>
      </c>
      <c r="G194" s="0" t="s">
        <v>45</v>
      </c>
      <c r="H194" s="6" t="n">
        <v>41.8</v>
      </c>
      <c r="I194" s="6" t="n">
        <v>98.5</v>
      </c>
    </row>
    <row r="195" customFormat="false" ht="15" hidden="false" customHeight="false" outlineLevel="0" collapsed="false">
      <c r="A195" s="0" t="n">
        <v>2024</v>
      </c>
      <c r="B195" s="0" t="n">
        <v>1</v>
      </c>
      <c r="C195" s="0" t="s">
        <v>78</v>
      </c>
      <c r="D195" s="0" t="s">
        <v>46</v>
      </c>
      <c r="E195" s="0" t="s">
        <v>43</v>
      </c>
      <c r="F195" s="0" t="s">
        <v>44</v>
      </c>
      <c r="G195" s="0" t="s">
        <v>47</v>
      </c>
      <c r="H195" s="6" t="n">
        <v>36.2</v>
      </c>
      <c r="I195" s="6" t="n">
        <v>100</v>
      </c>
    </row>
    <row r="196" customFormat="false" ht="15" hidden="false" customHeight="false" outlineLevel="0" collapsed="false">
      <c r="A196" s="0" t="n">
        <v>2024</v>
      </c>
      <c r="B196" s="0" t="n">
        <v>1</v>
      </c>
      <c r="C196" s="0" t="s">
        <v>78</v>
      </c>
      <c r="D196" s="0" t="s">
        <v>48</v>
      </c>
      <c r="E196" s="0" t="s">
        <v>43</v>
      </c>
      <c r="F196" s="0" t="s">
        <v>44</v>
      </c>
      <c r="G196" s="0" t="s">
        <v>47</v>
      </c>
      <c r="H196" s="6" t="n">
        <v>33.5</v>
      </c>
      <c r="I196" s="6" t="n">
        <v>100</v>
      </c>
    </row>
    <row r="197" customFormat="false" ht="15" hidden="false" customHeight="false" outlineLevel="0" collapsed="false">
      <c r="A197" s="0" t="n">
        <v>2024</v>
      </c>
      <c r="B197" s="0" t="n">
        <v>1</v>
      </c>
      <c r="C197" s="0" t="s">
        <v>78</v>
      </c>
      <c r="D197" s="0" t="s">
        <v>49</v>
      </c>
      <c r="E197" s="0" t="s">
        <v>50</v>
      </c>
      <c r="F197" s="0" t="s">
        <v>44</v>
      </c>
      <c r="G197" s="0" t="s">
        <v>47</v>
      </c>
      <c r="H197" s="6" t="n">
        <v>34</v>
      </c>
      <c r="I197" s="6" t="n">
        <v>100</v>
      </c>
    </row>
    <row r="198" customFormat="false" ht="15" hidden="false" customHeight="false" outlineLevel="0" collapsed="false">
      <c r="A198" s="0" t="n">
        <v>2024</v>
      </c>
      <c r="B198" s="0" t="n">
        <v>1</v>
      </c>
      <c r="C198" s="0" t="s">
        <v>78</v>
      </c>
      <c r="D198" s="0" t="s">
        <v>51</v>
      </c>
      <c r="E198" s="0" t="s">
        <v>50</v>
      </c>
      <c r="F198" s="0" t="s">
        <v>44</v>
      </c>
      <c r="G198" s="0" t="s">
        <v>47</v>
      </c>
      <c r="H198" s="6" t="n">
        <v>28.9</v>
      </c>
      <c r="I198" s="6" t="n">
        <v>100</v>
      </c>
    </row>
    <row r="199" customFormat="false" ht="15" hidden="false" customHeight="false" outlineLevel="0" collapsed="false">
      <c r="A199" s="0" t="n">
        <v>2024</v>
      </c>
      <c r="B199" s="0" t="n">
        <v>1</v>
      </c>
      <c r="C199" s="0" t="s">
        <v>78</v>
      </c>
      <c r="D199" s="0" t="s">
        <v>52</v>
      </c>
      <c r="E199" s="0" t="s">
        <v>52</v>
      </c>
      <c r="F199" s="0" t="s">
        <v>44</v>
      </c>
      <c r="G199" s="0" t="s">
        <v>47</v>
      </c>
      <c r="H199" s="6" t="n">
        <v>33.7</v>
      </c>
      <c r="I199" s="6" t="n">
        <v>100</v>
      </c>
    </row>
    <row r="200" customFormat="false" ht="15" hidden="false" customHeight="false" outlineLevel="0" collapsed="false">
      <c r="A200" s="0" t="n">
        <v>2024</v>
      </c>
      <c r="B200" s="0" t="n">
        <v>1</v>
      </c>
      <c r="C200" s="0" t="s">
        <v>78</v>
      </c>
      <c r="D200" s="0" t="s">
        <v>42</v>
      </c>
      <c r="E200" s="0" t="s">
        <v>43</v>
      </c>
      <c r="F200" s="0" t="s">
        <v>53</v>
      </c>
      <c r="G200" s="0" t="s">
        <v>45</v>
      </c>
      <c r="H200" s="6" t="n">
        <v>19.8</v>
      </c>
      <c r="I200" s="6" t="n">
        <v>98.3</v>
      </c>
    </row>
    <row r="201" customFormat="false" ht="15" hidden="false" customHeight="false" outlineLevel="0" collapsed="false">
      <c r="A201" s="0" t="n">
        <v>2024</v>
      </c>
      <c r="B201" s="0" t="n">
        <v>1</v>
      </c>
      <c r="C201" s="0" t="s">
        <v>78</v>
      </c>
      <c r="D201" s="0" t="s">
        <v>54</v>
      </c>
      <c r="E201" s="0" t="s">
        <v>43</v>
      </c>
      <c r="F201" s="0" t="s">
        <v>53</v>
      </c>
      <c r="G201" s="0" t="s">
        <v>45</v>
      </c>
      <c r="H201" s="6" t="n">
        <v>17.7</v>
      </c>
      <c r="I201" s="6" t="n">
        <v>95.7</v>
      </c>
    </row>
    <row r="202" customFormat="false" ht="15" hidden="false" customHeight="false" outlineLevel="0" collapsed="false">
      <c r="A202" s="0" t="n">
        <v>2024</v>
      </c>
      <c r="B202" s="0" t="n">
        <v>2</v>
      </c>
      <c r="C202" s="0" t="s">
        <v>79</v>
      </c>
      <c r="D202" s="0" t="s">
        <v>42</v>
      </c>
      <c r="E202" s="0" t="s">
        <v>43</v>
      </c>
      <c r="F202" s="0" t="s">
        <v>44</v>
      </c>
      <c r="G202" s="0" t="s">
        <v>45</v>
      </c>
      <c r="H202" s="6" t="n">
        <v>37.6</v>
      </c>
      <c r="I202" s="6" t="n">
        <v>95.5</v>
      </c>
    </row>
    <row r="203" customFormat="false" ht="15" hidden="false" customHeight="false" outlineLevel="0" collapsed="false">
      <c r="A203" s="0" t="n">
        <v>2024</v>
      </c>
      <c r="B203" s="0" t="n">
        <v>2</v>
      </c>
      <c r="C203" s="0" t="s">
        <v>79</v>
      </c>
      <c r="D203" s="0" t="s">
        <v>46</v>
      </c>
      <c r="E203" s="0" t="s">
        <v>43</v>
      </c>
      <c r="F203" s="0" t="s">
        <v>44</v>
      </c>
      <c r="G203" s="0" t="s">
        <v>47</v>
      </c>
      <c r="H203" s="6" t="n">
        <v>34.8</v>
      </c>
      <c r="I203" s="6" t="n">
        <v>100</v>
      </c>
    </row>
    <row r="204" customFormat="false" ht="15" hidden="false" customHeight="false" outlineLevel="0" collapsed="false">
      <c r="A204" s="0" t="n">
        <v>2024</v>
      </c>
      <c r="B204" s="0" t="n">
        <v>2</v>
      </c>
      <c r="C204" s="0" t="s">
        <v>79</v>
      </c>
      <c r="D204" s="0" t="s">
        <v>48</v>
      </c>
      <c r="E204" s="0" t="s">
        <v>43</v>
      </c>
      <c r="F204" s="0" t="s">
        <v>44</v>
      </c>
      <c r="G204" s="0" t="s">
        <v>47</v>
      </c>
      <c r="H204" s="6" t="n">
        <v>30.1</v>
      </c>
      <c r="I204" s="6" t="n">
        <v>100</v>
      </c>
    </row>
    <row r="205" customFormat="false" ht="15" hidden="false" customHeight="false" outlineLevel="0" collapsed="false">
      <c r="A205" s="0" t="n">
        <v>2024</v>
      </c>
      <c r="B205" s="0" t="n">
        <v>2</v>
      </c>
      <c r="C205" s="0" t="s">
        <v>79</v>
      </c>
      <c r="D205" s="0" t="s">
        <v>49</v>
      </c>
      <c r="E205" s="0" t="s">
        <v>50</v>
      </c>
      <c r="F205" s="0" t="s">
        <v>44</v>
      </c>
      <c r="G205" s="0" t="s">
        <v>47</v>
      </c>
      <c r="H205" s="6" t="n">
        <v>32.7</v>
      </c>
      <c r="I205" s="6" t="n">
        <v>100</v>
      </c>
    </row>
    <row r="206" customFormat="false" ht="15" hidden="false" customHeight="false" outlineLevel="0" collapsed="false">
      <c r="A206" s="0" t="n">
        <v>2024</v>
      </c>
      <c r="B206" s="0" t="n">
        <v>2</v>
      </c>
      <c r="C206" s="0" t="s">
        <v>79</v>
      </c>
      <c r="D206" s="0" t="s">
        <v>51</v>
      </c>
      <c r="E206" s="0" t="s">
        <v>50</v>
      </c>
      <c r="F206" s="0" t="s">
        <v>44</v>
      </c>
      <c r="G206" s="0" t="s">
        <v>47</v>
      </c>
      <c r="H206" s="6" t="n">
        <v>30</v>
      </c>
      <c r="I206" s="6" t="n">
        <v>100</v>
      </c>
    </row>
    <row r="207" customFormat="false" ht="15" hidden="false" customHeight="false" outlineLevel="0" collapsed="false">
      <c r="A207" s="0" t="n">
        <v>2024</v>
      </c>
      <c r="B207" s="0" t="n">
        <v>2</v>
      </c>
      <c r="C207" s="0" t="s">
        <v>79</v>
      </c>
      <c r="D207" s="0" t="s">
        <v>52</v>
      </c>
      <c r="E207" s="0" t="s">
        <v>52</v>
      </c>
      <c r="F207" s="0" t="s">
        <v>44</v>
      </c>
      <c r="G207" s="0" t="s">
        <v>47</v>
      </c>
      <c r="H207" s="6" t="n">
        <v>30.7</v>
      </c>
      <c r="I207" s="6" t="n">
        <v>100</v>
      </c>
    </row>
    <row r="208" customFormat="false" ht="15" hidden="false" customHeight="false" outlineLevel="0" collapsed="false">
      <c r="A208" s="0" t="n">
        <v>2024</v>
      </c>
      <c r="B208" s="0" t="n">
        <v>2</v>
      </c>
      <c r="C208" s="0" t="s">
        <v>79</v>
      </c>
      <c r="D208" s="0" t="s">
        <v>42</v>
      </c>
      <c r="E208" s="0" t="s">
        <v>43</v>
      </c>
      <c r="F208" s="0" t="s">
        <v>53</v>
      </c>
      <c r="G208" s="0" t="s">
        <v>45</v>
      </c>
      <c r="H208" s="6" t="n">
        <v>19.8</v>
      </c>
      <c r="I208" s="6" t="n">
        <v>96.3</v>
      </c>
    </row>
    <row r="209" customFormat="false" ht="15" hidden="false" customHeight="false" outlineLevel="0" collapsed="false">
      <c r="A209" s="0" t="n">
        <v>2024</v>
      </c>
      <c r="B209" s="0" t="n">
        <v>2</v>
      </c>
      <c r="C209" s="0" t="s">
        <v>79</v>
      </c>
      <c r="D209" s="0" t="s">
        <v>54</v>
      </c>
      <c r="E209" s="0" t="s">
        <v>43</v>
      </c>
      <c r="F209" s="0" t="s">
        <v>53</v>
      </c>
      <c r="G209" s="0" t="s">
        <v>45</v>
      </c>
      <c r="H209" s="6" t="n">
        <v>16.4</v>
      </c>
      <c r="I209" s="6" t="n">
        <v>99.5</v>
      </c>
    </row>
    <row r="210" customFormat="false" ht="15" hidden="false" customHeight="false" outlineLevel="0" collapsed="false">
      <c r="A210" s="0" t="n">
        <v>2024</v>
      </c>
      <c r="B210" s="0" t="n">
        <v>3</v>
      </c>
      <c r="C210" s="0" t="s">
        <v>80</v>
      </c>
      <c r="D210" s="0" t="s">
        <v>42</v>
      </c>
      <c r="E210" s="0" t="s">
        <v>43</v>
      </c>
      <c r="F210" s="0" t="s">
        <v>44</v>
      </c>
      <c r="G210" s="0" t="s">
        <v>45</v>
      </c>
      <c r="H210" s="6" t="n">
        <v>37.3</v>
      </c>
      <c r="I210" s="6" t="n">
        <v>95.5</v>
      </c>
    </row>
    <row r="211" customFormat="false" ht="15" hidden="false" customHeight="false" outlineLevel="0" collapsed="false">
      <c r="A211" s="0" t="n">
        <v>2024</v>
      </c>
      <c r="B211" s="0" t="n">
        <v>3</v>
      </c>
      <c r="C211" s="0" t="s">
        <v>80</v>
      </c>
      <c r="D211" s="0" t="s">
        <v>46</v>
      </c>
      <c r="E211" s="0" t="s">
        <v>43</v>
      </c>
      <c r="F211" s="0" t="s">
        <v>44</v>
      </c>
      <c r="G211" s="0" t="s">
        <v>47</v>
      </c>
      <c r="H211" s="6" t="n">
        <v>31.6</v>
      </c>
      <c r="I211" s="6" t="n">
        <v>100</v>
      </c>
    </row>
    <row r="212" customFormat="false" ht="15" hidden="false" customHeight="false" outlineLevel="0" collapsed="false">
      <c r="A212" s="0" t="n">
        <v>2024</v>
      </c>
      <c r="B212" s="0" t="n">
        <v>3</v>
      </c>
      <c r="C212" s="0" t="s">
        <v>80</v>
      </c>
      <c r="D212" s="0" t="s">
        <v>48</v>
      </c>
      <c r="E212" s="0" t="s">
        <v>43</v>
      </c>
      <c r="F212" s="0" t="s">
        <v>44</v>
      </c>
      <c r="G212" s="0" t="s">
        <v>47</v>
      </c>
      <c r="H212" s="6" t="n">
        <v>27.8</v>
      </c>
      <c r="I212" s="6" t="n">
        <v>100</v>
      </c>
    </row>
    <row r="213" customFormat="false" ht="15" hidden="false" customHeight="false" outlineLevel="0" collapsed="false">
      <c r="A213" s="0" t="n">
        <v>2024</v>
      </c>
      <c r="B213" s="0" t="n">
        <v>3</v>
      </c>
      <c r="C213" s="0" t="s">
        <v>80</v>
      </c>
      <c r="D213" s="0" t="s">
        <v>49</v>
      </c>
      <c r="E213" s="0" t="s">
        <v>50</v>
      </c>
      <c r="F213" s="0" t="s">
        <v>44</v>
      </c>
      <c r="G213" s="0" t="s">
        <v>47</v>
      </c>
      <c r="H213" s="6" t="n">
        <v>28.3</v>
      </c>
      <c r="I213" s="6" t="n">
        <v>100</v>
      </c>
    </row>
    <row r="214" customFormat="false" ht="15" hidden="false" customHeight="false" outlineLevel="0" collapsed="false">
      <c r="A214" s="0" t="n">
        <v>2024</v>
      </c>
      <c r="B214" s="0" t="n">
        <v>3</v>
      </c>
      <c r="C214" s="0" t="s">
        <v>80</v>
      </c>
      <c r="D214" s="0" t="s">
        <v>51</v>
      </c>
      <c r="E214" s="0" t="s">
        <v>50</v>
      </c>
      <c r="F214" s="0" t="s">
        <v>44</v>
      </c>
      <c r="G214" s="0" t="s">
        <v>47</v>
      </c>
      <c r="H214" s="6" t="n">
        <v>27.8</v>
      </c>
      <c r="I214" s="6" t="n">
        <v>100</v>
      </c>
    </row>
    <row r="215" customFormat="false" ht="15" hidden="false" customHeight="false" outlineLevel="0" collapsed="false">
      <c r="A215" s="0" t="n">
        <v>2024</v>
      </c>
      <c r="B215" s="0" t="n">
        <v>3</v>
      </c>
      <c r="C215" s="0" t="s">
        <v>80</v>
      </c>
      <c r="D215" s="0" t="s">
        <v>52</v>
      </c>
      <c r="E215" s="0" t="s">
        <v>52</v>
      </c>
      <c r="F215" s="0" t="s">
        <v>44</v>
      </c>
      <c r="G215" s="0" t="s">
        <v>47</v>
      </c>
      <c r="H215" s="6" t="n">
        <v>29.5</v>
      </c>
      <c r="I215" s="6" t="n">
        <v>100</v>
      </c>
    </row>
    <row r="216" customFormat="false" ht="15" hidden="false" customHeight="false" outlineLevel="0" collapsed="false">
      <c r="A216" s="0" t="n">
        <v>2024</v>
      </c>
      <c r="B216" s="0" t="n">
        <v>3</v>
      </c>
      <c r="C216" s="0" t="s">
        <v>80</v>
      </c>
      <c r="D216" s="0" t="s">
        <v>42</v>
      </c>
      <c r="E216" s="0" t="s">
        <v>43</v>
      </c>
      <c r="F216" s="0" t="s">
        <v>53</v>
      </c>
      <c r="G216" s="0" t="s">
        <v>45</v>
      </c>
      <c r="H216" s="6" t="n">
        <v>17.5</v>
      </c>
      <c r="I216" s="6" t="n">
        <v>98.7</v>
      </c>
    </row>
    <row r="217" customFormat="false" ht="15" hidden="false" customHeight="false" outlineLevel="0" collapsed="false">
      <c r="A217" s="0" t="n">
        <v>2024</v>
      </c>
      <c r="B217" s="0" t="n">
        <v>3</v>
      </c>
      <c r="C217" s="0" t="s">
        <v>80</v>
      </c>
      <c r="D217" s="0" t="s">
        <v>54</v>
      </c>
      <c r="E217" s="0" t="s">
        <v>43</v>
      </c>
      <c r="F217" s="0" t="s">
        <v>53</v>
      </c>
      <c r="G217" s="0" t="s">
        <v>45</v>
      </c>
      <c r="H217" s="6" t="n">
        <v>15.2</v>
      </c>
      <c r="I217" s="6" t="n">
        <v>97.1</v>
      </c>
    </row>
    <row r="218" customFormat="false" ht="15" hidden="false" customHeight="false" outlineLevel="0" collapsed="false">
      <c r="A218" s="0" t="n">
        <v>2024</v>
      </c>
      <c r="B218" s="0" t="n">
        <v>4</v>
      </c>
      <c r="C218" s="0" t="s">
        <v>81</v>
      </c>
      <c r="D218" s="0" t="s">
        <v>42</v>
      </c>
      <c r="E218" s="0" t="s">
        <v>43</v>
      </c>
      <c r="F218" s="0" t="s">
        <v>44</v>
      </c>
      <c r="G218" s="0" t="s">
        <v>45</v>
      </c>
      <c r="H218" s="6" t="n">
        <v>31.7</v>
      </c>
      <c r="I218" s="6" t="n">
        <v>95.4</v>
      </c>
    </row>
    <row r="219" customFormat="false" ht="15" hidden="false" customHeight="false" outlineLevel="0" collapsed="false">
      <c r="A219" s="0" t="n">
        <v>2024</v>
      </c>
      <c r="B219" s="0" t="n">
        <v>4</v>
      </c>
      <c r="C219" s="0" t="s">
        <v>81</v>
      </c>
      <c r="D219" s="0" t="s">
        <v>46</v>
      </c>
      <c r="E219" s="0" t="s">
        <v>43</v>
      </c>
      <c r="F219" s="0" t="s">
        <v>44</v>
      </c>
      <c r="G219" s="0" t="s">
        <v>47</v>
      </c>
      <c r="H219" s="6" t="n">
        <v>30.6</v>
      </c>
      <c r="I219" s="6" t="n">
        <v>100</v>
      </c>
    </row>
    <row r="220" customFormat="false" ht="15" hidden="false" customHeight="false" outlineLevel="0" collapsed="false">
      <c r="A220" s="0" t="n">
        <v>2024</v>
      </c>
      <c r="B220" s="0" t="n">
        <v>4</v>
      </c>
      <c r="C220" s="0" t="s">
        <v>81</v>
      </c>
      <c r="D220" s="0" t="s">
        <v>48</v>
      </c>
      <c r="E220" s="0" t="s">
        <v>43</v>
      </c>
      <c r="F220" s="0" t="s">
        <v>44</v>
      </c>
      <c r="G220" s="0" t="s">
        <v>47</v>
      </c>
      <c r="H220" s="6" t="n">
        <v>27.3</v>
      </c>
      <c r="I220" s="6" t="n">
        <v>100</v>
      </c>
    </row>
    <row r="221" customFormat="false" ht="15" hidden="false" customHeight="false" outlineLevel="0" collapsed="false">
      <c r="A221" s="0" t="n">
        <v>2024</v>
      </c>
      <c r="B221" s="0" t="n">
        <v>4</v>
      </c>
      <c r="C221" s="0" t="s">
        <v>81</v>
      </c>
      <c r="D221" s="0" t="s">
        <v>49</v>
      </c>
      <c r="E221" s="0" t="s">
        <v>50</v>
      </c>
      <c r="F221" s="0" t="s">
        <v>44</v>
      </c>
      <c r="G221" s="0" t="s">
        <v>47</v>
      </c>
      <c r="H221" s="6" t="n">
        <v>27.7</v>
      </c>
      <c r="I221" s="6" t="n">
        <v>100</v>
      </c>
    </row>
    <row r="222" customFormat="false" ht="15" hidden="false" customHeight="false" outlineLevel="0" collapsed="false">
      <c r="A222" s="0" t="n">
        <v>2024</v>
      </c>
      <c r="B222" s="0" t="n">
        <v>4</v>
      </c>
      <c r="C222" s="0" t="s">
        <v>81</v>
      </c>
      <c r="D222" s="0" t="s">
        <v>51</v>
      </c>
      <c r="E222" s="0" t="s">
        <v>50</v>
      </c>
      <c r="F222" s="0" t="s">
        <v>44</v>
      </c>
      <c r="G222" s="0" t="s">
        <v>47</v>
      </c>
      <c r="H222" s="6" t="n">
        <v>25.8</v>
      </c>
      <c r="I222" s="6" t="n">
        <v>100</v>
      </c>
    </row>
    <row r="223" customFormat="false" ht="15" hidden="false" customHeight="false" outlineLevel="0" collapsed="false">
      <c r="A223" s="0" t="n">
        <v>2024</v>
      </c>
      <c r="B223" s="0" t="n">
        <v>4</v>
      </c>
      <c r="C223" s="0" t="s">
        <v>81</v>
      </c>
      <c r="D223" s="0" t="s">
        <v>52</v>
      </c>
      <c r="E223" s="0" t="s">
        <v>52</v>
      </c>
      <c r="F223" s="0" t="s">
        <v>44</v>
      </c>
      <c r="G223" s="0" t="s">
        <v>47</v>
      </c>
      <c r="H223" s="6" t="n">
        <v>27.1</v>
      </c>
      <c r="I223" s="6" t="n">
        <v>100</v>
      </c>
    </row>
    <row r="224" customFormat="false" ht="15" hidden="false" customHeight="false" outlineLevel="0" collapsed="false">
      <c r="A224" s="0" t="n">
        <v>2024</v>
      </c>
      <c r="B224" s="0" t="n">
        <v>4</v>
      </c>
      <c r="C224" s="0" t="s">
        <v>81</v>
      </c>
      <c r="D224" s="0" t="s">
        <v>42</v>
      </c>
      <c r="E224" s="0" t="s">
        <v>43</v>
      </c>
      <c r="F224" s="0" t="s">
        <v>53</v>
      </c>
      <c r="G224" s="0" t="s">
        <v>45</v>
      </c>
      <c r="H224" s="6" t="n">
        <v>16</v>
      </c>
      <c r="I224" s="6" t="n">
        <v>95.6</v>
      </c>
    </row>
    <row r="225" customFormat="false" ht="15" hidden="false" customHeight="false" outlineLevel="0" collapsed="false">
      <c r="A225" s="0" t="n">
        <v>2024</v>
      </c>
      <c r="B225" s="0" t="n">
        <v>4</v>
      </c>
      <c r="C225" s="0" t="s">
        <v>81</v>
      </c>
      <c r="D225" s="0" t="s">
        <v>54</v>
      </c>
      <c r="E225" s="0" t="s">
        <v>43</v>
      </c>
      <c r="F225" s="0" t="s">
        <v>53</v>
      </c>
      <c r="G225" s="0" t="s">
        <v>45</v>
      </c>
      <c r="H225" s="6" t="n">
        <v>13.7</v>
      </c>
      <c r="I225" s="6" t="n">
        <v>99.5</v>
      </c>
    </row>
    <row r="226" customFormat="false" ht="15" hidden="false" customHeight="false" outlineLevel="0" collapsed="false">
      <c r="A226" s="0" t="n">
        <v>2024</v>
      </c>
      <c r="B226" s="0" t="n">
        <v>5</v>
      </c>
      <c r="C226" s="0" t="s">
        <v>82</v>
      </c>
      <c r="D226" s="0" t="s">
        <v>42</v>
      </c>
      <c r="E226" s="0" t="s">
        <v>43</v>
      </c>
      <c r="F226" s="0" t="s">
        <v>44</v>
      </c>
      <c r="G226" s="0" t="s">
        <v>45</v>
      </c>
      <c r="H226" s="6" t="n">
        <v>32.5</v>
      </c>
      <c r="I226" s="6" t="n">
        <v>99.3</v>
      </c>
    </row>
    <row r="227" customFormat="false" ht="15" hidden="false" customHeight="false" outlineLevel="0" collapsed="false">
      <c r="A227" s="0" t="n">
        <v>2024</v>
      </c>
      <c r="B227" s="0" t="n">
        <v>5</v>
      </c>
      <c r="C227" s="0" t="s">
        <v>82</v>
      </c>
      <c r="D227" s="0" t="s">
        <v>46</v>
      </c>
      <c r="E227" s="0" t="s">
        <v>43</v>
      </c>
      <c r="F227" s="0" t="s">
        <v>44</v>
      </c>
      <c r="G227" s="0" t="s">
        <v>47</v>
      </c>
      <c r="H227" s="6" t="n">
        <v>29</v>
      </c>
      <c r="I227" s="6" t="n">
        <v>100</v>
      </c>
    </row>
    <row r="228" customFormat="false" ht="15" hidden="false" customHeight="false" outlineLevel="0" collapsed="false">
      <c r="A228" s="0" t="n">
        <v>2024</v>
      </c>
      <c r="B228" s="0" t="n">
        <v>5</v>
      </c>
      <c r="C228" s="0" t="s">
        <v>82</v>
      </c>
      <c r="D228" s="0" t="s">
        <v>48</v>
      </c>
      <c r="E228" s="0" t="s">
        <v>43</v>
      </c>
      <c r="F228" s="0" t="s">
        <v>44</v>
      </c>
      <c r="G228" s="0" t="s">
        <v>47</v>
      </c>
      <c r="H228" s="6" t="n">
        <v>24.2</v>
      </c>
      <c r="I228" s="6" t="n">
        <v>100</v>
      </c>
    </row>
    <row r="229" customFormat="false" ht="15" hidden="false" customHeight="false" outlineLevel="0" collapsed="false">
      <c r="A229" s="0" t="n">
        <v>2024</v>
      </c>
      <c r="B229" s="0" t="n">
        <v>5</v>
      </c>
      <c r="C229" s="0" t="s">
        <v>82</v>
      </c>
      <c r="D229" s="0" t="s">
        <v>49</v>
      </c>
      <c r="E229" s="0" t="s">
        <v>50</v>
      </c>
      <c r="F229" s="0" t="s">
        <v>44</v>
      </c>
      <c r="G229" s="0" t="s">
        <v>47</v>
      </c>
      <c r="H229" s="6" t="n">
        <v>25.5</v>
      </c>
      <c r="I229" s="6" t="n">
        <v>100</v>
      </c>
    </row>
    <row r="230" customFormat="false" ht="15" hidden="false" customHeight="false" outlineLevel="0" collapsed="false">
      <c r="A230" s="0" t="n">
        <v>2024</v>
      </c>
      <c r="B230" s="0" t="n">
        <v>5</v>
      </c>
      <c r="C230" s="0" t="s">
        <v>82</v>
      </c>
      <c r="D230" s="0" t="s">
        <v>51</v>
      </c>
      <c r="E230" s="0" t="s">
        <v>50</v>
      </c>
      <c r="F230" s="0" t="s">
        <v>44</v>
      </c>
      <c r="G230" s="0" t="s">
        <v>47</v>
      </c>
      <c r="H230" s="6" t="n">
        <v>22.7</v>
      </c>
      <c r="I230" s="6" t="n">
        <v>100</v>
      </c>
    </row>
    <row r="231" customFormat="false" ht="15" hidden="false" customHeight="false" outlineLevel="0" collapsed="false">
      <c r="A231" s="0" t="n">
        <v>2024</v>
      </c>
      <c r="B231" s="0" t="n">
        <v>5</v>
      </c>
      <c r="C231" s="0" t="s">
        <v>82</v>
      </c>
      <c r="D231" s="0" t="s">
        <v>52</v>
      </c>
      <c r="E231" s="0" t="s">
        <v>52</v>
      </c>
      <c r="F231" s="0" t="s">
        <v>44</v>
      </c>
      <c r="G231" s="0" t="s">
        <v>47</v>
      </c>
      <c r="H231" s="6" t="n">
        <v>26.2</v>
      </c>
      <c r="I231" s="6" t="n">
        <v>100</v>
      </c>
    </row>
    <row r="232" customFormat="false" ht="15" hidden="false" customHeight="false" outlineLevel="0" collapsed="false">
      <c r="A232" s="0" t="n">
        <v>2024</v>
      </c>
      <c r="B232" s="0" t="n">
        <v>5</v>
      </c>
      <c r="C232" s="0" t="s">
        <v>82</v>
      </c>
      <c r="D232" s="0" t="s">
        <v>42</v>
      </c>
      <c r="E232" s="0" t="s">
        <v>43</v>
      </c>
      <c r="F232" s="0" t="s">
        <v>53</v>
      </c>
      <c r="G232" s="0" t="s">
        <v>45</v>
      </c>
      <c r="H232" s="6" t="n">
        <v>16.3</v>
      </c>
      <c r="I232" s="6" t="n">
        <v>97</v>
      </c>
    </row>
    <row r="233" customFormat="false" ht="15" hidden="false" customHeight="false" outlineLevel="0" collapsed="false">
      <c r="A233" s="0" t="n">
        <v>2024</v>
      </c>
      <c r="B233" s="0" t="n">
        <v>5</v>
      </c>
      <c r="C233" s="0" t="s">
        <v>82</v>
      </c>
      <c r="D233" s="0" t="s">
        <v>54</v>
      </c>
      <c r="E233" s="0" t="s">
        <v>43</v>
      </c>
      <c r="F233" s="0" t="s">
        <v>53</v>
      </c>
      <c r="G233" s="0" t="s">
        <v>45</v>
      </c>
      <c r="H233" s="6" t="n">
        <v>13.4</v>
      </c>
      <c r="I233" s="6" t="n">
        <v>95.8</v>
      </c>
    </row>
    <row r="234" customFormat="false" ht="15" hidden="false" customHeight="false" outlineLevel="0" collapsed="false">
      <c r="A234" s="0" t="n">
        <v>2024</v>
      </c>
      <c r="B234" s="0" t="n">
        <v>6</v>
      </c>
      <c r="C234" s="0" t="s">
        <v>83</v>
      </c>
      <c r="D234" s="0" t="s">
        <v>42</v>
      </c>
      <c r="E234" s="0" t="s">
        <v>43</v>
      </c>
      <c r="F234" s="0" t="s">
        <v>44</v>
      </c>
      <c r="G234" s="0" t="s">
        <v>45</v>
      </c>
      <c r="H234" s="6" t="n">
        <v>31.5</v>
      </c>
      <c r="I234" s="6" t="n">
        <v>99.3</v>
      </c>
    </row>
    <row r="235" customFormat="false" ht="15" hidden="false" customHeight="false" outlineLevel="0" collapsed="false">
      <c r="A235" s="0" t="n">
        <v>2024</v>
      </c>
      <c r="B235" s="0" t="n">
        <v>6</v>
      </c>
      <c r="C235" s="0" t="s">
        <v>83</v>
      </c>
      <c r="D235" s="0" t="s">
        <v>46</v>
      </c>
      <c r="E235" s="0" t="s">
        <v>43</v>
      </c>
      <c r="F235" s="0" t="s">
        <v>44</v>
      </c>
      <c r="G235" s="0" t="s">
        <v>47</v>
      </c>
      <c r="H235" s="6" t="n">
        <v>28</v>
      </c>
      <c r="I235" s="6" t="n">
        <v>100</v>
      </c>
    </row>
    <row r="236" customFormat="false" ht="15" hidden="false" customHeight="false" outlineLevel="0" collapsed="false">
      <c r="A236" s="0" t="n">
        <v>2024</v>
      </c>
      <c r="B236" s="0" t="n">
        <v>6</v>
      </c>
      <c r="C236" s="0" t="s">
        <v>83</v>
      </c>
      <c r="D236" s="0" t="s">
        <v>48</v>
      </c>
      <c r="E236" s="0" t="s">
        <v>43</v>
      </c>
      <c r="F236" s="0" t="s">
        <v>44</v>
      </c>
      <c r="G236" s="0" t="s">
        <v>47</v>
      </c>
      <c r="H236" s="6" t="n">
        <v>24.6</v>
      </c>
      <c r="I236" s="6" t="n">
        <v>100</v>
      </c>
    </row>
    <row r="237" customFormat="false" ht="15" hidden="false" customHeight="false" outlineLevel="0" collapsed="false">
      <c r="A237" s="0" t="n">
        <v>2024</v>
      </c>
      <c r="B237" s="0" t="n">
        <v>6</v>
      </c>
      <c r="C237" s="0" t="s">
        <v>83</v>
      </c>
      <c r="D237" s="0" t="s">
        <v>49</v>
      </c>
      <c r="E237" s="0" t="s">
        <v>50</v>
      </c>
      <c r="F237" s="0" t="s">
        <v>44</v>
      </c>
      <c r="G237" s="0" t="s">
        <v>47</v>
      </c>
      <c r="H237" s="6" t="n">
        <v>25.9</v>
      </c>
      <c r="I237" s="6" t="n">
        <v>100</v>
      </c>
    </row>
    <row r="238" customFormat="false" ht="15" hidden="false" customHeight="false" outlineLevel="0" collapsed="false">
      <c r="A238" s="0" t="n">
        <v>2024</v>
      </c>
      <c r="B238" s="0" t="n">
        <v>6</v>
      </c>
      <c r="C238" s="0" t="s">
        <v>83</v>
      </c>
      <c r="D238" s="0" t="s">
        <v>51</v>
      </c>
      <c r="E238" s="0" t="s">
        <v>50</v>
      </c>
      <c r="F238" s="0" t="s">
        <v>44</v>
      </c>
      <c r="G238" s="0" t="s">
        <v>47</v>
      </c>
      <c r="H238" s="6" t="n">
        <v>21.6</v>
      </c>
      <c r="I238" s="6" t="n">
        <v>100</v>
      </c>
    </row>
    <row r="239" customFormat="false" ht="15" hidden="false" customHeight="false" outlineLevel="0" collapsed="false">
      <c r="A239" s="0" t="n">
        <v>2024</v>
      </c>
      <c r="B239" s="0" t="n">
        <v>6</v>
      </c>
      <c r="C239" s="0" t="s">
        <v>83</v>
      </c>
      <c r="D239" s="0" t="s">
        <v>52</v>
      </c>
      <c r="E239" s="0" t="s">
        <v>52</v>
      </c>
      <c r="F239" s="0" t="s">
        <v>44</v>
      </c>
      <c r="G239" s="0" t="s">
        <v>47</v>
      </c>
      <c r="H239" s="6" t="n">
        <v>25</v>
      </c>
      <c r="I239" s="6" t="n">
        <v>100</v>
      </c>
    </row>
    <row r="240" customFormat="false" ht="15" hidden="false" customHeight="false" outlineLevel="0" collapsed="false">
      <c r="A240" s="0" t="n">
        <v>2024</v>
      </c>
      <c r="B240" s="0" t="n">
        <v>6</v>
      </c>
      <c r="C240" s="0" t="s">
        <v>83</v>
      </c>
      <c r="D240" s="0" t="s">
        <v>42</v>
      </c>
      <c r="E240" s="0" t="s">
        <v>43</v>
      </c>
      <c r="F240" s="0" t="s">
        <v>53</v>
      </c>
      <c r="G240" s="0" t="s">
        <v>45</v>
      </c>
      <c r="H240" s="6" t="n">
        <v>14.8</v>
      </c>
      <c r="I240" s="6" t="n">
        <v>99.7</v>
      </c>
    </row>
    <row r="241" customFormat="false" ht="15" hidden="false" customHeight="false" outlineLevel="0" collapsed="false">
      <c r="A241" s="0" t="n">
        <v>2024</v>
      </c>
      <c r="B241" s="0" t="n">
        <v>6</v>
      </c>
      <c r="C241" s="0" t="s">
        <v>83</v>
      </c>
      <c r="D241" s="0" t="s">
        <v>54</v>
      </c>
      <c r="E241" s="0" t="s">
        <v>43</v>
      </c>
      <c r="F241" s="0" t="s">
        <v>53</v>
      </c>
      <c r="G241" s="0" t="s">
        <v>45</v>
      </c>
      <c r="H241" s="6" t="n">
        <v>13.1</v>
      </c>
      <c r="I241" s="6" t="n">
        <v>99.3</v>
      </c>
    </row>
    <row r="242" customFormat="false" ht="15" hidden="false" customHeight="false" outlineLevel="0" collapsed="false">
      <c r="A242" s="0" t="n">
        <v>2024</v>
      </c>
      <c r="B242" s="0" t="n">
        <v>7</v>
      </c>
      <c r="C242" s="0" t="s">
        <v>84</v>
      </c>
      <c r="D242" s="0" t="s">
        <v>42</v>
      </c>
      <c r="E242" s="0" t="s">
        <v>43</v>
      </c>
      <c r="F242" s="0" t="s">
        <v>44</v>
      </c>
      <c r="G242" s="0" t="s">
        <v>45</v>
      </c>
      <c r="H242" s="6" t="n">
        <v>30.4</v>
      </c>
      <c r="I242" s="6" t="n">
        <v>96.3</v>
      </c>
    </row>
    <row r="243" customFormat="false" ht="15" hidden="false" customHeight="false" outlineLevel="0" collapsed="false">
      <c r="A243" s="0" t="n">
        <v>2024</v>
      </c>
      <c r="B243" s="0" t="n">
        <v>7</v>
      </c>
      <c r="C243" s="0" t="s">
        <v>84</v>
      </c>
      <c r="D243" s="0" t="s">
        <v>46</v>
      </c>
      <c r="E243" s="0" t="s">
        <v>43</v>
      </c>
      <c r="F243" s="0" t="s">
        <v>44</v>
      </c>
      <c r="G243" s="0" t="s">
        <v>47</v>
      </c>
      <c r="H243" s="6" t="n">
        <v>26.9</v>
      </c>
      <c r="I243" s="6" t="n">
        <v>100</v>
      </c>
    </row>
    <row r="244" customFormat="false" ht="15" hidden="false" customHeight="false" outlineLevel="0" collapsed="false">
      <c r="A244" s="0" t="n">
        <v>2024</v>
      </c>
      <c r="B244" s="0" t="n">
        <v>7</v>
      </c>
      <c r="C244" s="0" t="s">
        <v>84</v>
      </c>
      <c r="D244" s="0" t="s">
        <v>48</v>
      </c>
      <c r="E244" s="0" t="s">
        <v>43</v>
      </c>
      <c r="F244" s="0" t="s">
        <v>44</v>
      </c>
      <c r="G244" s="0" t="s">
        <v>47</v>
      </c>
      <c r="H244" s="6" t="n">
        <v>22.4</v>
      </c>
      <c r="I244" s="6" t="n">
        <v>100</v>
      </c>
    </row>
    <row r="245" customFormat="false" ht="15" hidden="false" customHeight="false" outlineLevel="0" collapsed="false">
      <c r="A245" s="0" t="n">
        <v>2024</v>
      </c>
      <c r="B245" s="0" t="n">
        <v>7</v>
      </c>
      <c r="C245" s="0" t="s">
        <v>84</v>
      </c>
      <c r="D245" s="0" t="s">
        <v>49</v>
      </c>
      <c r="E245" s="0" t="s">
        <v>50</v>
      </c>
      <c r="F245" s="0" t="s">
        <v>44</v>
      </c>
      <c r="G245" s="0" t="s">
        <v>47</v>
      </c>
      <c r="H245" s="6" t="n">
        <v>25.3</v>
      </c>
      <c r="I245" s="6" t="n">
        <v>100</v>
      </c>
    </row>
    <row r="246" customFormat="false" ht="15" hidden="false" customHeight="false" outlineLevel="0" collapsed="false">
      <c r="A246" s="0" t="n">
        <v>2024</v>
      </c>
      <c r="B246" s="0" t="n">
        <v>7</v>
      </c>
      <c r="C246" s="0" t="s">
        <v>84</v>
      </c>
      <c r="D246" s="0" t="s">
        <v>51</v>
      </c>
      <c r="E246" s="0" t="s">
        <v>50</v>
      </c>
      <c r="F246" s="0" t="s">
        <v>44</v>
      </c>
      <c r="G246" s="0" t="s">
        <v>47</v>
      </c>
      <c r="H246" s="6" t="n">
        <v>22.9</v>
      </c>
      <c r="I246" s="6" t="n">
        <v>100</v>
      </c>
    </row>
    <row r="247" customFormat="false" ht="15" hidden="false" customHeight="false" outlineLevel="0" collapsed="false">
      <c r="A247" s="0" t="n">
        <v>2024</v>
      </c>
      <c r="B247" s="0" t="n">
        <v>7</v>
      </c>
      <c r="C247" s="0" t="s">
        <v>84</v>
      </c>
      <c r="D247" s="0" t="s">
        <v>52</v>
      </c>
      <c r="E247" s="0" t="s">
        <v>52</v>
      </c>
      <c r="F247" s="0" t="s">
        <v>44</v>
      </c>
      <c r="G247" s="0" t="s">
        <v>47</v>
      </c>
      <c r="H247" s="6" t="n">
        <v>23.2</v>
      </c>
      <c r="I247" s="6" t="n">
        <v>100</v>
      </c>
    </row>
    <row r="248" customFormat="false" ht="15" hidden="false" customHeight="false" outlineLevel="0" collapsed="false">
      <c r="A248" s="0" t="n">
        <v>2024</v>
      </c>
      <c r="B248" s="0" t="n">
        <v>7</v>
      </c>
      <c r="C248" s="0" t="s">
        <v>84</v>
      </c>
      <c r="D248" s="0" t="s">
        <v>42</v>
      </c>
      <c r="E248" s="0" t="s">
        <v>43</v>
      </c>
      <c r="F248" s="0" t="s">
        <v>53</v>
      </c>
      <c r="G248" s="0" t="s">
        <v>45</v>
      </c>
      <c r="H248" s="6" t="n">
        <v>15.2</v>
      </c>
      <c r="I248" s="6" t="n">
        <v>97.3</v>
      </c>
    </row>
    <row r="249" customFormat="false" ht="15" hidden="false" customHeight="false" outlineLevel="0" collapsed="false">
      <c r="A249" s="0" t="n">
        <v>2024</v>
      </c>
      <c r="B249" s="0" t="n">
        <v>7</v>
      </c>
      <c r="C249" s="0" t="s">
        <v>84</v>
      </c>
      <c r="D249" s="0" t="s">
        <v>54</v>
      </c>
      <c r="E249" s="0" t="s">
        <v>43</v>
      </c>
      <c r="F249" s="0" t="s">
        <v>53</v>
      </c>
      <c r="G249" s="0" t="s">
        <v>45</v>
      </c>
      <c r="H249" s="6" t="n">
        <v>12.1</v>
      </c>
      <c r="I249" s="6" t="n">
        <v>99</v>
      </c>
    </row>
    <row r="250" customFormat="false" ht="15" hidden="false" customHeight="false" outlineLevel="0" collapsed="false">
      <c r="A250" s="0" t="n">
        <v>2024</v>
      </c>
      <c r="B250" s="0" t="n">
        <v>8</v>
      </c>
      <c r="C250" s="0" t="s">
        <v>85</v>
      </c>
      <c r="D250" s="0" t="s">
        <v>42</v>
      </c>
      <c r="E250" s="0" t="s">
        <v>43</v>
      </c>
      <c r="F250" s="0" t="s">
        <v>44</v>
      </c>
      <c r="G250" s="0" t="s">
        <v>45</v>
      </c>
      <c r="H250" s="6" t="n">
        <v>29.4</v>
      </c>
      <c r="I250" s="6" t="n">
        <v>95.1</v>
      </c>
    </row>
    <row r="251" customFormat="false" ht="15" hidden="false" customHeight="false" outlineLevel="0" collapsed="false">
      <c r="A251" s="0" t="n">
        <v>2024</v>
      </c>
      <c r="B251" s="0" t="n">
        <v>8</v>
      </c>
      <c r="C251" s="0" t="s">
        <v>85</v>
      </c>
      <c r="D251" s="0" t="s">
        <v>46</v>
      </c>
      <c r="E251" s="0" t="s">
        <v>43</v>
      </c>
      <c r="F251" s="0" t="s">
        <v>44</v>
      </c>
      <c r="G251" s="0" t="s">
        <v>47</v>
      </c>
      <c r="H251" s="6" t="n">
        <v>25.9</v>
      </c>
      <c r="I251" s="6" t="n">
        <v>100</v>
      </c>
    </row>
    <row r="252" customFormat="false" ht="15" hidden="false" customHeight="false" outlineLevel="0" collapsed="false">
      <c r="A252" s="0" t="n">
        <v>2024</v>
      </c>
      <c r="B252" s="0" t="n">
        <v>8</v>
      </c>
      <c r="C252" s="0" t="s">
        <v>85</v>
      </c>
      <c r="D252" s="0" t="s">
        <v>48</v>
      </c>
      <c r="E252" s="0" t="s">
        <v>43</v>
      </c>
      <c r="F252" s="0" t="s">
        <v>44</v>
      </c>
      <c r="G252" s="0" t="s">
        <v>47</v>
      </c>
      <c r="H252" s="6" t="n">
        <v>23.4</v>
      </c>
      <c r="I252" s="6" t="n">
        <v>100</v>
      </c>
    </row>
    <row r="253" customFormat="false" ht="15" hidden="false" customHeight="false" outlineLevel="0" collapsed="false">
      <c r="A253" s="0" t="n">
        <v>2024</v>
      </c>
      <c r="B253" s="0" t="n">
        <v>8</v>
      </c>
      <c r="C253" s="0" t="s">
        <v>85</v>
      </c>
      <c r="D253" s="0" t="s">
        <v>49</v>
      </c>
      <c r="E253" s="0" t="s">
        <v>50</v>
      </c>
      <c r="F253" s="0" t="s">
        <v>44</v>
      </c>
      <c r="G253" s="0" t="s">
        <v>47</v>
      </c>
      <c r="H253" s="6" t="n">
        <v>25.9</v>
      </c>
      <c r="I253" s="6" t="n">
        <v>100</v>
      </c>
    </row>
    <row r="254" customFormat="false" ht="15" hidden="false" customHeight="false" outlineLevel="0" collapsed="false">
      <c r="A254" s="0" t="n">
        <v>2024</v>
      </c>
      <c r="B254" s="0" t="n">
        <v>8</v>
      </c>
      <c r="C254" s="0" t="s">
        <v>85</v>
      </c>
      <c r="D254" s="0" t="s">
        <v>51</v>
      </c>
      <c r="E254" s="0" t="s">
        <v>50</v>
      </c>
      <c r="F254" s="0" t="s">
        <v>44</v>
      </c>
      <c r="G254" s="0" t="s">
        <v>47</v>
      </c>
      <c r="H254" s="6" t="n">
        <v>23.7</v>
      </c>
      <c r="I254" s="6" t="n">
        <v>100</v>
      </c>
    </row>
    <row r="255" customFormat="false" ht="15" hidden="false" customHeight="false" outlineLevel="0" collapsed="false">
      <c r="A255" s="0" t="n">
        <v>2024</v>
      </c>
      <c r="B255" s="0" t="n">
        <v>8</v>
      </c>
      <c r="C255" s="0" t="s">
        <v>85</v>
      </c>
      <c r="D255" s="0" t="s">
        <v>52</v>
      </c>
      <c r="E255" s="0" t="s">
        <v>52</v>
      </c>
      <c r="F255" s="0" t="s">
        <v>44</v>
      </c>
      <c r="G255" s="0" t="s">
        <v>47</v>
      </c>
      <c r="H255" s="6" t="n">
        <v>23.9</v>
      </c>
      <c r="I255" s="6" t="n">
        <v>100</v>
      </c>
    </row>
    <row r="256" customFormat="false" ht="15" hidden="false" customHeight="false" outlineLevel="0" collapsed="false">
      <c r="A256" s="0" t="n">
        <v>2024</v>
      </c>
      <c r="B256" s="0" t="n">
        <v>8</v>
      </c>
      <c r="C256" s="0" t="s">
        <v>85</v>
      </c>
      <c r="D256" s="0" t="s">
        <v>42</v>
      </c>
      <c r="E256" s="0" t="s">
        <v>43</v>
      </c>
      <c r="F256" s="0" t="s">
        <v>53</v>
      </c>
      <c r="G256" s="0" t="s">
        <v>45</v>
      </c>
      <c r="H256" s="6" t="n">
        <v>15.3</v>
      </c>
      <c r="I256" s="6" t="n">
        <v>97</v>
      </c>
    </row>
    <row r="257" customFormat="false" ht="15" hidden="false" customHeight="false" outlineLevel="0" collapsed="false">
      <c r="A257" s="0" t="n">
        <v>2024</v>
      </c>
      <c r="B257" s="0" t="n">
        <v>8</v>
      </c>
      <c r="C257" s="0" t="s">
        <v>85</v>
      </c>
      <c r="D257" s="0" t="s">
        <v>54</v>
      </c>
      <c r="E257" s="0" t="s">
        <v>43</v>
      </c>
      <c r="F257" s="0" t="s">
        <v>53</v>
      </c>
      <c r="G257" s="0" t="s">
        <v>45</v>
      </c>
      <c r="H257" s="6" t="n">
        <v>13.3</v>
      </c>
      <c r="I257" s="6" t="n">
        <v>97.7</v>
      </c>
    </row>
    <row r="258" customFormat="false" ht="15" hidden="false" customHeight="false" outlineLevel="0" collapsed="false">
      <c r="A258" s="0" t="n">
        <v>2024</v>
      </c>
      <c r="B258" s="0" t="n">
        <v>9</v>
      </c>
      <c r="C258" s="0" t="s">
        <v>86</v>
      </c>
      <c r="D258" s="0" t="s">
        <v>42</v>
      </c>
      <c r="E258" s="0" t="s">
        <v>43</v>
      </c>
      <c r="F258" s="0" t="s">
        <v>44</v>
      </c>
      <c r="G258" s="0" t="s">
        <v>45</v>
      </c>
      <c r="H258" s="6" t="n">
        <v>34</v>
      </c>
      <c r="I258" s="6" t="n">
        <v>95.6</v>
      </c>
    </row>
    <row r="259" customFormat="false" ht="15" hidden="false" customHeight="false" outlineLevel="0" collapsed="false">
      <c r="A259" s="0" t="n">
        <v>2024</v>
      </c>
      <c r="B259" s="0" t="n">
        <v>9</v>
      </c>
      <c r="C259" s="0" t="s">
        <v>86</v>
      </c>
      <c r="D259" s="0" t="s">
        <v>46</v>
      </c>
      <c r="E259" s="0" t="s">
        <v>43</v>
      </c>
      <c r="F259" s="0" t="s">
        <v>44</v>
      </c>
      <c r="G259" s="0" t="s">
        <v>47</v>
      </c>
      <c r="H259" s="6" t="n">
        <v>30.2</v>
      </c>
      <c r="I259" s="6" t="n">
        <v>100</v>
      </c>
    </row>
    <row r="260" customFormat="false" ht="15" hidden="false" customHeight="false" outlineLevel="0" collapsed="false">
      <c r="A260" s="0" t="n">
        <v>2024</v>
      </c>
      <c r="B260" s="0" t="n">
        <v>9</v>
      </c>
      <c r="C260" s="0" t="s">
        <v>86</v>
      </c>
      <c r="D260" s="0" t="s">
        <v>48</v>
      </c>
      <c r="E260" s="0" t="s">
        <v>43</v>
      </c>
      <c r="F260" s="0" t="s">
        <v>44</v>
      </c>
      <c r="G260" s="0" t="s">
        <v>47</v>
      </c>
      <c r="H260" s="6" t="n">
        <v>24.9</v>
      </c>
      <c r="I260" s="6" t="n">
        <v>100</v>
      </c>
    </row>
    <row r="261" customFormat="false" ht="15" hidden="false" customHeight="false" outlineLevel="0" collapsed="false">
      <c r="A261" s="0" t="n">
        <v>2024</v>
      </c>
      <c r="B261" s="0" t="n">
        <v>9</v>
      </c>
      <c r="C261" s="0" t="s">
        <v>86</v>
      </c>
      <c r="D261" s="0" t="s">
        <v>49</v>
      </c>
      <c r="E261" s="0" t="s">
        <v>50</v>
      </c>
      <c r="F261" s="0" t="s">
        <v>44</v>
      </c>
      <c r="G261" s="0" t="s">
        <v>47</v>
      </c>
      <c r="H261" s="6" t="n">
        <v>28.2</v>
      </c>
      <c r="I261" s="6" t="n">
        <v>100</v>
      </c>
    </row>
    <row r="262" customFormat="false" ht="15" hidden="false" customHeight="false" outlineLevel="0" collapsed="false">
      <c r="A262" s="0" t="n">
        <v>2024</v>
      </c>
      <c r="B262" s="0" t="n">
        <v>9</v>
      </c>
      <c r="C262" s="0" t="s">
        <v>86</v>
      </c>
      <c r="D262" s="0" t="s">
        <v>51</v>
      </c>
      <c r="E262" s="0" t="s">
        <v>50</v>
      </c>
      <c r="F262" s="0" t="s">
        <v>44</v>
      </c>
      <c r="G262" s="0" t="s">
        <v>47</v>
      </c>
      <c r="H262" s="6" t="n">
        <v>23.9</v>
      </c>
      <c r="I262" s="6" t="n">
        <v>100</v>
      </c>
    </row>
    <row r="263" customFormat="false" ht="15" hidden="false" customHeight="false" outlineLevel="0" collapsed="false">
      <c r="A263" s="0" t="n">
        <v>2024</v>
      </c>
      <c r="B263" s="0" t="n">
        <v>9</v>
      </c>
      <c r="C263" s="0" t="s">
        <v>86</v>
      </c>
      <c r="D263" s="0" t="s">
        <v>52</v>
      </c>
      <c r="E263" s="0" t="s">
        <v>52</v>
      </c>
      <c r="F263" s="0" t="s">
        <v>44</v>
      </c>
      <c r="G263" s="0" t="s">
        <v>47</v>
      </c>
      <c r="H263" s="6" t="n">
        <v>25.3</v>
      </c>
      <c r="I263" s="6" t="n">
        <v>100</v>
      </c>
    </row>
    <row r="264" customFormat="false" ht="15" hidden="false" customHeight="false" outlineLevel="0" collapsed="false">
      <c r="A264" s="0" t="n">
        <v>2024</v>
      </c>
      <c r="B264" s="0" t="n">
        <v>9</v>
      </c>
      <c r="C264" s="0" t="s">
        <v>86</v>
      </c>
      <c r="D264" s="0" t="s">
        <v>42</v>
      </c>
      <c r="E264" s="0" t="s">
        <v>43</v>
      </c>
      <c r="F264" s="0" t="s">
        <v>53</v>
      </c>
      <c r="G264" s="0" t="s">
        <v>45</v>
      </c>
      <c r="H264" s="6" t="n">
        <v>16.1</v>
      </c>
      <c r="I264" s="6" t="n">
        <v>98.6</v>
      </c>
    </row>
    <row r="265" customFormat="false" ht="15" hidden="false" customHeight="false" outlineLevel="0" collapsed="false">
      <c r="A265" s="0" t="n">
        <v>2024</v>
      </c>
      <c r="B265" s="0" t="n">
        <v>9</v>
      </c>
      <c r="C265" s="0" t="s">
        <v>86</v>
      </c>
      <c r="D265" s="0" t="s">
        <v>54</v>
      </c>
      <c r="E265" s="0" t="s">
        <v>43</v>
      </c>
      <c r="F265" s="0" t="s">
        <v>53</v>
      </c>
      <c r="G265" s="0" t="s">
        <v>45</v>
      </c>
      <c r="H265" s="6" t="n">
        <v>13.4</v>
      </c>
      <c r="I265" s="6" t="n">
        <v>98</v>
      </c>
    </row>
    <row r="266" customFormat="false" ht="15" hidden="false" customHeight="false" outlineLevel="0" collapsed="false">
      <c r="A266" s="0" t="n">
        <v>2024</v>
      </c>
      <c r="B266" s="0" t="n">
        <v>10</v>
      </c>
      <c r="C266" s="0" t="s">
        <v>87</v>
      </c>
      <c r="D266" s="0" t="s">
        <v>42</v>
      </c>
      <c r="E266" s="0" t="s">
        <v>43</v>
      </c>
      <c r="F266" s="0" t="s">
        <v>44</v>
      </c>
      <c r="G266" s="0" t="s">
        <v>45</v>
      </c>
      <c r="H266" s="6" t="n">
        <v>35.7</v>
      </c>
      <c r="I266" s="6" t="n">
        <v>96.9</v>
      </c>
    </row>
    <row r="267" customFormat="false" ht="15" hidden="false" customHeight="false" outlineLevel="0" collapsed="false">
      <c r="A267" s="0" t="n">
        <v>2024</v>
      </c>
      <c r="B267" s="0" t="n">
        <v>10</v>
      </c>
      <c r="C267" s="0" t="s">
        <v>87</v>
      </c>
      <c r="D267" s="0" t="s">
        <v>46</v>
      </c>
      <c r="E267" s="0" t="s">
        <v>43</v>
      </c>
      <c r="F267" s="0" t="s">
        <v>44</v>
      </c>
      <c r="G267" s="0" t="s">
        <v>47</v>
      </c>
      <c r="H267" s="6" t="n">
        <v>31.8</v>
      </c>
      <c r="I267" s="6" t="n">
        <v>100</v>
      </c>
    </row>
    <row r="268" customFormat="false" ht="15" hidden="false" customHeight="false" outlineLevel="0" collapsed="false">
      <c r="A268" s="0" t="n">
        <v>2024</v>
      </c>
      <c r="B268" s="0" t="n">
        <v>10</v>
      </c>
      <c r="C268" s="0" t="s">
        <v>87</v>
      </c>
      <c r="D268" s="0" t="s">
        <v>48</v>
      </c>
      <c r="E268" s="0" t="s">
        <v>43</v>
      </c>
      <c r="F268" s="0" t="s">
        <v>44</v>
      </c>
      <c r="G268" s="0" t="s">
        <v>47</v>
      </c>
      <c r="H268" s="6" t="n">
        <v>27.5</v>
      </c>
      <c r="I268" s="6" t="n">
        <v>100</v>
      </c>
    </row>
    <row r="269" customFormat="false" ht="15" hidden="false" customHeight="false" outlineLevel="0" collapsed="false">
      <c r="A269" s="0" t="n">
        <v>2024</v>
      </c>
      <c r="B269" s="0" t="n">
        <v>10</v>
      </c>
      <c r="C269" s="0" t="s">
        <v>87</v>
      </c>
      <c r="D269" s="0" t="s">
        <v>49</v>
      </c>
      <c r="E269" s="0" t="s">
        <v>50</v>
      </c>
      <c r="F269" s="0" t="s">
        <v>44</v>
      </c>
      <c r="G269" s="0" t="s">
        <v>47</v>
      </c>
      <c r="H269" s="6" t="n">
        <v>30.1</v>
      </c>
      <c r="I269" s="6" t="n">
        <v>100</v>
      </c>
    </row>
    <row r="270" customFormat="false" ht="15" hidden="false" customHeight="false" outlineLevel="0" collapsed="false">
      <c r="A270" s="0" t="n">
        <v>2024</v>
      </c>
      <c r="B270" s="0" t="n">
        <v>10</v>
      </c>
      <c r="C270" s="0" t="s">
        <v>87</v>
      </c>
      <c r="D270" s="0" t="s">
        <v>51</v>
      </c>
      <c r="E270" s="0" t="s">
        <v>50</v>
      </c>
      <c r="F270" s="0" t="s">
        <v>44</v>
      </c>
      <c r="G270" s="0" t="s">
        <v>47</v>
      </c>
      <c r="H270" s="6" t="n">
        <v>25.4</v>
      </c>
      <c r="I270" s="6" t="n">
        <v>100</v>
      </c>
    </row>
    <row r="271" customFormat="false" ht="15" hidden="false" customHeight="false" outlineLevel="0" collapsed="false">
      <c r="A271" s="0" t="n">
        <v>2024</v>
      </c>
      <c r="B271" s="0" t="n">
        <v>10</v>
      </c>
      <c r="C271" s="0" t="s">
        <v>87</v>
      </c>
      <c r="D271" s="0" t="s">
        <v>52</v>
      </c>
      <c r="E271" s="0" t="s">
        <v>52</v>
      </c>
      <c r="F271" s="0" t="s">
        <v>44</v>
      </c>
      <c r="G271" s="0" t="s">
        <v>47</v>
      </c>
      <c r="H271" s="6" t="n">
        <v>30.1</v>
      </c>
      <c r="I271" s="6" t="n">
        <v>100</v>
      </c>
    </row>
    <row r="272" customFormat="false" ht="15" hidden="false" customHeight="false" outlineLevel="0" collapsed="false">
      <c r="A272" s="0" t="n">
        <v>2024</v>
      </c>
      <c r="B272" s="0" t="n">
        <v>10</v>
      </c>
      <c r="C272" s="0" t="s">
        <v>87</v>
      </c>
      <c r="D272" s="0" t="s">
        <v>42</v>
      </c>
      <c r="E272" s="0" t="s">
        <v>43</v>
      </c>
      <c r="F272" s="0" t="s">
        <v>53</v>
      </c>
      <c r="G272" s="0" t="s">
        <v>45</v>
      </c>
      <c r="H272" s="6" t="n">
        <v>17.9</v>
      </c>
      <c r="I272" s="6" t="n">
        <v>98.6</v>
      </c>
    </row>
    <row r="273" customFormat="false" ht="15" hidden="false" customHeight="false" outlineLevel="0" collapsed="false">
      <c r="A273" s="0" t="n">
        <v>2024</v>
      </c>
      <c r="B273" s="0" t="n">
        <v>10</v>
      </c>
      <c r="C273" s="0" t="s">
        <v>87</v>
      </c>
      <c r="D273" s="0" t="s">
        <v>54</v>
      </c>
      <c r="E273" s="0" t="s">
        <v>43</v>
      </c>
      <c r="F273" s="0" t="s">
        <v>53</v>
      </c>
      <c r="G273" s="0" t="s">
        <v>45</v>
      </c>
      <c r="H273" s="6" t="n">
        <v>15.3</v>
      </c>
      <c r="I273" s="6" t="n">
        <v>98.4</v>
      </c>
    </row>
    <row r="274" customFormat="false" ht="15" hidden="false" customHeight="false" outlineLevel="0" collapsed="false">
      <c r="A274" s="0" t="n">
        <v>2024</v>
      </c>
      <c r="B274" s="0" t="n">
        <v>11</v>
      </c>
      <c r="C274" s="0" t="s">
        <v>88</v>
      </c>
      <c r="D274" s="0" t="s">
        <v>42</v>
      </c>
      <c r="E274" s="0" t="s">
        <v>43</v>
      </c>
      <c r="F274" s="0" t="s">
        <v>44</v>
      </c>
      <c r="G274" s="0" t="s">
        <v>45</v>
      </c>
      <c r="H274" s="6" t="n">
        <v>37.9</v>
      </c>
      <c r="I274" s="6" t="n">
        <v>95.3</v>
      </c>
    </row>
    <row r="275" customFormat="false" ht="15" hidden="false" customHeight="false" outlineLevel="0" collapsed="false">
      <c r="A275" s="0" t="n">
        <v>2024</v>
      </c>
      <c r="B275" s="0" t="n">
        <v>11</v>
      </c>
      <c r="C275" s="0" t="s">
        <v>88</v>
      </c>
      <c r="D275" s="0" t="s">
        <v>46</v>
      </c>
      <c r="E275" s="0" t="s">
        <v>43</v>
      </c>
      <c r="F275" s="0" t="s">
        <v>44</v>
      </c>
      <c r="G275" s="0" t="s">
        <v>47</v>
      </c>
      <c r="H275" s="6" t="n">
        <v>34.6</v>
      </c>
      <c r="I275" s="6" t="n">
        <v>100</v>
      </c>
    </row>
    <row r="276" customFormat="false" ht="15" hidden="false" customHeight="false" outlineLevel="0" collapsed="false">
      <c r="A276" s="0" t="n">
        <v>2024</v>
      </c>
      <c r="B276" s="0" t="n">
        <v>11</v>
      </c>
      <c r="C276" s="0" t="s">
        <v>88</v>
      </c>
      <c r="D276" s="0" t="s">
        <v>48</v>
      </c>
      <c r="E276" s="0" t="s">
        <v>43</v>
      </c>
      <c r="F276" s="0" t="s">
        <v>44</v>
      </c>
      <c r="G276" s="0" t="s">
        <v>47</v>
      </c>
      <c r="H276" s="6" t="n">
        <v>29.8</v>
      </c>
      <c r="I276" s="6" t="n">
        <v>100</v>
      </c>
    </row>
    <row r="277" customFormat="false" ht="15" hidden="false" customHeight="false" outlineLevel="0" collapsed="false">
      <c r="A277" s="0" t="n">
        <v>2024</v>
      </c>
      <c r="B277" s="0" t="n">
        <v>11</v>
      </c>
      <c r="C277" s="0" t="s">
        <v>88</v>
      </c>
      <c r="D277" s="0" t="s">
        <v>49</v>
      </c>
      <c r="E277" s="0" t="s">
        <v>50</v>
      </c>
      <c r="F277" s="0" t="s">
        <v>44</v>
      </c>
      <c r="G277" s="0" t="s">
        <v>47</v>
      </c>
      <c r="H277" s="6" t="n">
        <v>31.2</v>
      </c>
      <c r="I277" s="6" t="n">
        <v>100</v>
      </c>
    </row>
    <row r="278" customFormat="false" ht="15" hidden="false" customHeight="false" outlineLevel="0" collapsed="false">
      <c r="A278" s="0" t="n">
        <v>2024</v>
      </c>
      <c r="B278" s="0" t="n">
        <v>11</v>
      </c>
      <c r="C278" s="0" t="s">
        <v>88</v>
      </c>
      <c r="D278" s="0" t="s">
        <v>51</v>
      </c>
      <c r="E278" s="0" t="s">
        <v>50</v>
      </c>
      <c r="F278" s="0" t="s">
        <v>44</v>
      </c>
      <c r="G278" s="0" t="s">
        <v>47</v>
      </c>
      <c r="H278" s="6" t="n">
        <v>29.8</v>
      </c>
      <c r="I278" s="6" t="n">
        <v>100</v>
      </c>
    </row>
    <row r="279" customFormat="false" ht="15" hidden="false" customHeight="false" outlineLevel="0" collapsed="false">
      <c r="A279" s="0" t="n">
        <v>2024</v>
      </c>
      <c r="B279" s="0" t="n">
        <v>11</v>
      </c>
      <c r="C279" s="0" t="s">
        <v>88</v>
      </c>
      <c r="D279" s="0" t="s">
        <v>52</v>
      </c>
      <c r="E279" s="0" t="s">
        <v>52</v>
      </c>
      <c r="F279" s="0" t="s">
        <v>44</v>
      </c>
      <c r="G279" s="0" t="s">
        <v>47</v>
      </c>
      <c r="H279" s="6" t="n">
        <v>31.7</v>
      </c>
      <c r="I279" s="6" t="n">
        <v>100</v>
      </c>
    </row>
    <row r="280" customFormat="false" ht="15" hidden="false" customHeight="false" outlineLevel="0" collapsed="false">
      <c r="A280" s="0" t="n">
        <v>2024</v>
      </c>
      <c r="B280" s="0" t="n">
        <v>11</v>
      </c>
      <c r="C280" s="0" t="s">
        <v>88</v>
      </c>
      <c r="D280" s="0" t="s">
        <v>42</v>
      </c>
      <c r="E280" s="0" t="s">
        <v>43</v>
      </c>
      <c r="F280" s="0" t="s">
        <v>53</v>
      </c>
      <c r="G280" s="0" t="s">
        <v>45</v>
      </c>
      <c r="H280" s="6" t="n">
        <v>18.8</v>
      </c>
      <c r="I280" s="6" t="n">
        <v>96.5</v>
      </c>
    </row>
    <row r="281" customFormat="false" ht="15" hidden="false" customHeight="false" outlineLevel="0" collapsed="false">
      <c r="A281" s="0" t="n">
        <v>2024</v>
      </c>
      <c r="B281" s="0" t="n">
        <v>11</v>
      </c>
      <c r="C281" s="0" t="s">
        <v>88</v>
      </c>
      <c r="D281" s="0" t="s">
        <v>54</v>
      </c>
      <c r="E281" s="0" t="s">
        <v>43</v>
      </c>
      <c r="F281" s="0" t="s">
        <v>53</v>
      </c>
      <c r="G281" s="0" t="s">
        <v>45</v>
      </c>
      <c r="H281" s="6" t="n">
        <v>16</v>
      </c>
      <c r="I281" s="6" t="n">
        <v>97</v>
      </c>
    </row>
    <row r="282" customFormat="false" ht="15" hidden="false" customHeight="false" outlineLevel="0" collapsed="false">
      <c r="A282" s="0" t="n">
        <v>2024</v>
      </c>
      <c r="B282" s="0" t="n">
        <v>12</v>
      </c>
      <c r="C282" s="0" t="s">
        <v>89</v>
      </c>
      <c r="D282" s="0" t="s">
        <v>42</v>
      </c>
      <c r="E282" s="0" t="s">
        <v>43</v>
      </c>
      <c r="F282" s="0" t="s">
        <v>44</v>
      </c>
      <c r="G282" s="0" t="s">
        <v>45</v>
      </c>
      <c r="H282" s="6" t="n">
        <v>40.3</v>
      </c>
      <c r="I282" s="6" t="n">
        <v>95.6</v>
      </c>
    </row>
    <row r="283" customFormat="false" ht="15" hidden="false" customHeight="false" outlineLevel="0" collapsed="false">
      <c r="A283" s="0" t="n">
        <v>2024</v>
      </c>
      <c r="B283" s="0" t="n">
        <v>12</v>
      </c>
      <c r="C283" s="0" t="s">
        <v>89</v>
      </c>
      <c r="D283" s="0" t="s">
        <v>46</v>
      </c>
      <c r="E283" s="0" t="s">
        <v>43</v>
      </c>
      <c r="F283" s="0" t="s">
        <v>44</v>
      </c>
      <c r="G283" s="0" t="s">
        <v>47</v>
      </c>
      <c r="H283" s="6" t="n">
        <v>36.1</v>
      </c>
      <c r="I283" s="6" t="n">
        <v>100</v>
      </c>
    </row>
    <row r="284" customFormat="false" ht="15" hidden="false" customHeight="false" outlineLevel="0" collapsed="false">
      <c r="A284" s="0" t="n">
        <v>2024</v>
      </c>
      <c r="B284" s="0" t="n">
        <v>12</v>
      </c>
      <c r="C284" s="0" t="s">
        <v>89</v>
      </c>
      <c r="D284" s="0" t="s">
        <v>48</v>
      </c>
      <c r="E284" s="0" t="s">
        <v>43</v>
      </c>
      <c r="F284" s="0" t="s">
        <v>44</v>
      </c>
      <c r="G284" s="0" t="s">
        <v>47</v>
      </c>
      <c r="H284" s="6" t="n">
        <v>33.9</v>
      </c>
      <c r="I284" s="6" t="n">
        <v>100</v>
      </c>
    </row>
    <row r="285" customFormat="false" ht="15" hidden="false" customHeight="false" outlineLevel="0" collapsed="false">
      <c r="A285" s="0" t="n">
        <v>2024</v>
      </c>
      <c r="B285" s="0" t="n">
        <v>12</v>
      </c>
      <c r="C285" s="0" t="s">
        <v>89</v>
      </c>
      <c r="D285" s="0" t="s">
        <v>49</v>
      </c>
      <c r="E285" s="0" t="s">
        <v>50</v>
      </c>
      <c r="F285" s="0" t="s">
        <v>44</v>
      </c>
      <c r="G285" s="0" t="s">
        <v>47</v>
      </c>
      <c r="H285" s="6" t="n">
        <v>34.7</v>
      </c>
      <c r="I285" s="6" t="n">
        <v>100</v>
      </c>
    </row>
    <row r="286" customFormat="false" ht="15" hidden="false" customHeight="false" outlineLevel="0" collapsed="false">
      <c r="A286" s="0" t="n">
        <v>2024</v>
      </c>
      <c r="B286" s="0" t="n">
        <v>12</v>
      </c>
      <c r="C286" s="0" t="s">
        <v>89</v>
      </c>
      <c r="D286" s="0" t="s">
        <v>51</v>
      </c>
      <c r="E286" s="0" t="s">
        <v>50</v>
      </c>
      <c r="F286" s="0" t="s">
        <v>44</v>
      </c>
      <c r="G286" s="0" t="s">
        <v>47</v>
      </c>
      <c r="H286" s="6" t="n">
        <v>32.1</v>
      </c>
      <c r="I286" s="6" t="n">
        <v>100</v>
      </c>
    </row>
    <row r="287" customFormat="false" ht="15" hidden="false" customHeight="false" outlineLevel="0" collapsed="false">
      <c r="A287" s="0" t="n">
        <v>2024</v>
      </c>
      <c r="B287" s="0" t="n">
        <v>12</v>
      </c>
      <c r="C287" s="0" t="s">
        <v>89</v>
      </c>
      <c r="D287" s="0" t="s">
        <v>52</v>
      </c>
      <c r="E287" s="0" t="s">
        <v>52</v>
      </c>
      <c r="F287" s="0" t="s">
        <v>44</v>
      </c>
      <c r="G287" s="0" t="s">
        <v>47</v>
      </c>
      <c r="H287" s="6" t="n">
        <v>33.6</v>
      </c>
      <c r="I287" s="6" t="n">
        <v>100</v>
      </c>
    </row>
    <row r="288" customFormat="false" ht="15" hidden="false" customHeight="false" outlineLevel="0" collapsed="false">
      <c r="A288" s="0" t="n">
        <v>2024</v>
      </c>
      <c r="B288" s="0" t="n">
        <v>12</v>
      </c>
      <c r="C288" s="0" t="s">
        <v>89</v>
      </c>
      <c r="D288" s="0" t="s">
        <v>42</v>
      </c>
      <c r="E288" s="0" t="s">
        <v>43</v>
      </c>
      <c r="F288" s="0" t="s">
        <v>53</v>
      </c>
      <c r="G288" s="0" t="s">
        <v>45</v>
      </c>
      <c r="H288" s="6" t="n">
        <v>20.1</v>
      </c>
      <c r="I288" s="6" t="n">
        <v>97.7</v>
      </c>
    </row>
    <row r="289" customFormat="false" ht="15" hidden="false" customHeight="false" outlineLevel="0" collapsed="false">
      <c r="A289" s="0" t="n">
        <v>2024</v>
      </c>
      <c r="B289" s="0" t="n">
        <v>12</v>
      </c>
      <c r="C289" s="0" t="s">
        <v>89</v>
      </c>
      <c r="D289" s="0" t="s">
        <v>54</v>
      </c>
      <c r="E289" s="0" t="s">
        <v>43</v>
      </c>
      <c r="F289" s="0" t="s">
        <v>53</v>
      </c>
      <c r="G289" s="0" t="s">
        <v>45</v>
      </c>
      <c r="H289" s="6" t="n">
        <v>16.4</v>
      </c>
      <c r="I289" s="6" t="n">
        <v>96.4</v>
      </c>
    </row>
    <row r="290" customFormat="false" ht="15" hidden="false" customHeight="false" outlineLevel="0" collapsed="false">
      <c r="A290" s="0" t="n">
        <v>2025</v>
      </c>
      <c r="B290" s="0" t="n">
        <v>1</v>
      </c>
      <c r="C290" s="0" t="s">
        <v>90</v>
      </c>
      <c r="D290" s="0" t="s">
        <v>42</v>
      </c>
      <c r="E290" s="0" t="s">
        <v>43</v>
      </c>
      <c r="F290" s="0" t="s">
        <v>44</v>
      </c>
      <c r="G290" s="0" t="s">
        <v>45</v>
      </c>
      <c r="H290" s="6" t="n">
        <v>37.8</v>
      </c>
      <c r="I290" s="6" t="n">
        <v>97.9</v>
      </c>
    </row>
    <row r="291" customFormat="false" ht="15" hidden="false" customHeight="false" outlineLevel="0" collapsed="false">
      <c r="A291" s="0" t="n">
        <v>2025</v>
      </c>
      <c r="B291" s="0" t="n">
        <v>1</v>
      </c>
      <c r="C291" s="0" t="s">
        <v>90</v>
      </c>
      <c r="D291" s="0" t="s">
        <v>46</v>
      </c>
      <c r="E291" s="0" t="s">
        <v>43</v>
      </c>
      <c r="F291" s="0" t="s">
        <v>44</v>
      </c>
      <c r="G291" s="0" t="s">
        <v>47</v>
      </c>
      <c r="H291" s="6" t="n">
        <v>34.2</v>
      </c>
      <c r="I291" s="6" t="n">
        <v>100</v>
      </c>
    </row>
    <row r="292" customFormat="false" ht="15" hidden="false" customHeight="false" outlineLevel="0" collapsed="false">
      <c r="A292" s="0" t="n">
        <v>2025</v>
      </c>
      <c r="B292" s="0" t="n">
        <v>1</v>
      </c>
      <c r="C292" s="0" t="s">
        <v>90</v>
      </c>
      <c r="D292" s="0" t="s">
        <v>48</v>
      </c>
      <c r="E292" s="0" t="s">
        <v>43</v>
      </c>
      <c r="F292" s="0" t="s">
        <v>44</v>
      </c>
      <c r="G292" s="0" t="s">
        <v>47</v>
      </c>
      <c r="H292" s="6" t="n">
        <v>29.9</v>
      </c>
      <c r="I292" s="6" t="n">
        <v>100</v>
      </c>
    </row>
    <row r="293" customFormat="false" ht="15" hidden="false" customHeight="false" outlineLevel="0" collapsed="false">
      <c r="A293" s="0" t="n">
        <v>2025</v>
      </c>
      <c r="B293" s="0" t="n">
        <v>1</v>
      </c>
      <c r="C293" s="0" t="s">
        <v>90</v>
      </c>
      <c r="D293" s="0" t="s">
        <v>49</v>
      </c>
      <c r="E293" s="0" t="s">
        <v>50</v>
      </c>
      <c r="F293" s="0" t="s">
        <v>44</v>
      </c>
      <c r="G293" s="0" t="s">
        <v>47</v>
      </c>
      <c r="H293" s="6" t="n">
        <v>31.3</v>
      </c>
      <c r="I293" s="6" t="n">
        <v>100</v>
      </c>
    </row>
    <row r="294" customFormat="false" ht="15" hidden="false" customHeight="false" outlineLevel="0" collapsed="false">
      <c r="A294" s="0" t="n">
        <v>2025</v>
      </c>
      <c r="B294" s="0" t="n">
        <v>1</v>
      </c>
      <c r="C294" s="0" t="s">
        <v>90</v>
      </c>
      <c r="D294" s="0" t="s">
        <v>51</v>
      </c>
      <c r="E294" s="0" t="s">
        <v>50</v>
      </c>
      <c r="F294" s="0" t="s">
        <v>44</v>
      </c>
      <c r="G294" s="0" t="s">
        <v>47</v>
      </c>
      <c r="H294" s="6" t="n">
        <v>27.7</v>
      </c>
      <c r="I294" s="6" t="n">
        <v>100</v>
      </c>
    </row>
    <row r="295" customFormat="false" ht="15" hidden="false" customHeight="false" outlineLevel="0" collapsed="false">
      <c r="A295" s="0" t="n">
        <v>2025</v>
      </c>
      <c r="B295" s="0" t="n">
        <v>1</v>
      </c>
      <c r="C295" s="0" t="s">
        <v>90</v>
      </c>
      <c r="D295" s="0" t="s">
        <v>52</v>
      </c>
      <c r="E295" s="0" t="s">
        <v>52</v>
      </c>
      <c r="F295" s="0" t="s">
        <v>44</v>
      </c>
      <c r="G295" s="0" t="s">
        <v>47</v>
      </c>
      <c r="H295" s="6" t="n">
        <v>30.6</v>
      </c>
      <c r="I295" s="6" t="n">
        <v>100</v>
      </c>
    </row>
    <row r="296" customFormat="false" ht="15" hidden="false" customHeight="false" outlineLevel="0" collapsed="false">
      <c r="A296" s="0" t="n">
        <v>2025</v>
      </c>
      <c r="B296" s="0" t="n">
        <v>1</v>
      </c>
      <c r="C296" s="0" t="s">
        <v>90</v>
      </c>
      <c r="D296" s="0" t="s">
        <v>42</v>
      </c>
      <c r="E296" s="0" t="s">
        <v>43</v>
      </c>
      <c r="F296" s="0" t="s">
        <v>53</v>
      </c>
      <c r="G296" s="0" t="s">
        <v>45</v>
      </c>
      <c r="H296" s="6" t="n">
        <v>20.5</v>
      </c>
      <c r="I296" s="6" t="n">
        <v>99</v>
      </c>
    </row>
    <row r="297" customFormat="false" ht="15" hidden="false" customHeight="false" outlineLevel="0" collapsed="false">
      <c r="A297" s="0" t="n">
        <v>2025</v>
      </c>
      <c r="B297" s="0" t="n">
        <v>1</v>
      </c>
      <c r="C297" s="0" t="s">
        <v>90</v>
      </c>
      <c r="D297" s="0" t="s">
        <v>54</v>
      </c>
      <c r="E297" s="0" t="s">
        <v>43</v>
      </c>
      <c r="F297" s="0" t="s">
        <v>53</v>
      </c>
      <c r="G297" s="0" t="s">
        <v>45</v>
      </c>
      <c r="H297" s="6" t="n">
        <v>16.1</v>
      </c>
      <c r="I297" s="6" t="n">
        <v>95.4</v>
      </c>
    </row>
    <row r="298" customFormat="false" ht="15" hidden="false" customHeight="false" outlineLevel="0" collapsed="false">
      <c r="A298" s="0" t="n">
        <v>2025</v>
      </c>
      <c r="B298" s="0" t="n">
        <v>2</v>
      </c>
      <c r="C298" s="0" t="s">
        <v>91</v>
      </c>
      <c r="D298" s="0" t="s">
        <v>42</v>
      </c>
      <c r="E298" s="0" t="s">
        <v>43</v>
      </c>
      <c r="F298" s="0" t="s">
        <v>44</v>
      </c>
      <c r="G298" s="0" t="s">
        <v>45</v>
      </c>
      <c r="H298" s="6" t="n">
        <v>36.8</v>
      </c>
      <c r="I298" s="6" t="n">
        <v>98.2</v>
      </c>
    </row>
    <row r="299" customFormat="false" ht="15" hidden="false" customHeight="false" outlineLevel="0" collapsed="false">
      <c r="A299" s="0" t="n">
        <v>2025</v>
      </c>
      <c r="B299" s="0" t="n">
        <v>2</v>
      </c>
      <c r="C299" s="0" t="s">
        <v>91</v>
      </c>
      <c r="D299" s="0" t="s">
        <v>46</v>
      </c>
      <c r="E299" s="0" t="s">
        <v>43</v>
      </c>
      <c r="F299" s="0" t="s">
        <v>44</v>
      </c>
      <c r="G299" s="0" t="s">
        <v>47</v>
      </c>
      <c r="H299" s="6" t="n">
        <v>32</v>
      </c>
      <c r="I299" s="6" t="n">
        <v>100</v>
      </c>
    </row>
    <row r="300" customFormat="false" ht="15" hidden="false" customHeight="false" outlineLevel="0" collapsed="false">
      <c r="A300" s="0" t="n">
        <v>2025</v>
      </c>
      <c r="B300" s="0" t="n">
        <v>2</v>
      </c>
      <c r="C300" s="0" t="s">
        <v>91</v>
      </c>
      <c r="D300" s="0" t="s">
        <v>48</v>
      </c>
      <c r="E300" s="0" t="s">
        <v>43</v>
      </c>
      <c r="F300" s="0" t="s">
        <v>44</v>
      </c>
      <c r="G300" s="0" t="s">
        <v>47</v>
      </c>
      <c r="H300" s="6" t="n">
        <v>29.9</v>
      </c>
      <c r="I300" s="6" t="n">
        <v>100</v>
      </c>
    </row>
    <row r="301" customFormat="false" ht="15" hidden="false" customHeight="false" outlineLevel="0" collapsed="false">
      <c r="A301" s="0" t="n">
        <v>2025</v>
      </c>
      <c r="B301" s="0" t="n">
        <v>2</v>
      </c>
      <c r="C301" s="0" t="s">
        <v>91</v>
      </c>
      <c r="D301" s="0" t="s">
        <v>49</v>
      </c>
      <c r="E301" s="0" t="s">
        <v>50</v>
      </c>
      <c r="F301" s="0" t="s">
        <v>44</v>
      </c>
      <c r="G301" s="0" t="s">
        <v>47</v>
      </c>
      <c r="H301" s="6" t="n">
        <v>31.2</v>
      </c>
      <c r="I301" s="6" t="n">
        <v>100</v>
      </c>
    </row>
    <row r="302" customFormat="false" ht="15" hidden="false" customHeight="false" outlineLevel="0" collapsed="false">
      <c r="A302" s="0" t="n">
        <v>2025</v>
      </c>
      <c r="B302" s="0" t="n">
        <v>2</v>
      </c>
      <c r="C302" s="0" t="s">
        <v>91</v>
      </c>
      <c r="D302" s="0" t="s">
        <v>51</v>
      </c>
      <c r="E302" s="0" t="s">
        <v>50</v>
      </c>
      <c r="F302" s="0" t="s">
        <v>44</v>
      </c>
      <c r="G302" s="0" t="s">
        <v>47</v>
      </c>
      <c r="H302" s="6" t="n">
        <v>28</v>
      </c>
      <c r="I302" s="6" t="n">
        <v>100</v>
      </c>
    </row>
    <row r="303" customFormat="false" ht="15" hidden="false" customHeight="false" outlineLevel="0" collapsed="false">
      <c r="A303" s="0" t="n">
        <v>2025</v>
      </c>
      <c r="B303" s="0" t="n">
        <v>2</v>
      </c>
      <c r="C303" s="0" t="s">
        <v>91</v>
      </c>
      <c r="D303" s="0" t="s">
        <v>52</v>
      </c>
      <c r="E303" s="0" t="s">
        <v>52</v>
      </c>
      <c r="F303" s="0" t="s">
        <v>44</v>
      </c>
      <c r="G303" s="0" t="s">
        <v>47</v>
      </c>
      <c r="H303" s="6" t="n">
        <v>28.9</v>
      </c>
      <c r="I303" s="6" t="n">
        <v>100</v>
      </c>
    </row>
    <row r="304" customFormat="false" ht="15" hidden="false" customHeight="false" outlineLevel="0" collapsed="false">
      <c r="A304" s="0" t="n">
        <v>2025</v>
      </c>
      <c r="B304" s="0" t="n">
        <v>2</v>
      </c>
      <c r="C304" s="0" t="s">
        <v>91</v>
      </c>
      <c r="D304" s="0" t="s">
        <v>42</v>
      </c>
      <c r="E304" s="0" t="s">
        <v>43</v>
      </c>
      <c r="F304" s="0" t="s">
        <v>53</v>
      </c>
      <c r="G304" s="0" t="s">
        <v>45</v>
      </c>
      <c r="H304" s="6" t="n">
        <v>18.5</v>
      </c>
      <c r="I304" s="6" t="n">
        <v>95.1</v>
      </c>
    </row>
    <row r="305" customFormat="false" ht="15" hidden="false" customHeight="false" outlineLevel="0" collapsed="false">
      <c r="A305" s="0" t="n">
        <v>2025</v>
      </c>
      <c r="B305" s="0" t="n">
        <v>2</v>
      </c>
      <c r="C305" s="0" t="s">
        <v>91</v>
      </c>
      <c r="D305" s="0" t="s">
        <v>54</v>
      </c>
      <c r="E305" s="0" t="s">
        <v>43</v>
      </c>
      <c r="F305" s="0" t="s">
        <v>53</v>
      </c>
      <c r="G305" s="0" t="s">
        <v>45</v>
      </c>
      <c r="H305" s="6" t="n">
        <v>15.6</v>
      </c>
      <c r="I305" s="6" t="n">
        <v>97.4</v>
      </c>
    </row>
    <row r="306" customFormat="false" ht="15" hidden="false" customHeight="false" outlineLevel="0" collapsed="false">
      <c r="A306" s="0" t="n">
        <v>2025</v>
      </c>
      <c r="B306" s="0" t="n">
        <v>3</v>
      </c>
      <c r="C306" s="0" t="s">
        <v>92</v>
      </c>
      <c r="D306" s="0" t="s">
        <v>42</v>
      </c>
      <c r="E306" s="0" t="s">
        <v>43</v>
      </c>
      <c r="F306" s="0" t="s">
        <v>44</v>
      </c>
      <c r="G306" s="0" t="s">
        <v>45</v>
      </c>
      <c r="H306" s="6" t="n">
        <v>35</v>
      </c>
      <c r="I306" s="6" t="n">
        <v>95.4</v>
      </c>
    </row>
    <row r="307" customFormat="false" ht="15" hidden="false" customHeight="false" outlineLevel="0" collapsed="false">
      <c r="A307" s="0" t="n">
        <v>2025</v>
      </c>
      <c r="B307" s="0" t="n">
        <v>3</v>
      </c>
      <c r="C307" s="0" t="s">
        <v>92</v>
      </c>
      <c r="D307" s="0" t="s">
        <v>46</v>
      </c>
      <c r="E307" s="0" t="s">
        <v>43</v>
      </c>
      <c r="F307" s="0" t="s">
        <v>44</v>
      </c>
      <c r="G307" s="0" t="s">
        <v>47</v>
      </c>
      <c r="H307" s="6" t="n">
        <v>29.7</v>
      </c>
      <c r="I307" s="6" t="n">
        <v>100</v>
      </c>
    </row>
    <row r="308" customFormat="false" ht="15" hidden="false" customHeight="false" outlineLevel="0" collapsed="false">
      <c r="A308" s="0" t="n">
        <v>2025</v>
      </c>
      <c r="B308" s="0" t="n">
        <v>3</v>
      </c>
      <c r="C308" s="0" t="s">
        <v>92</v>
      </c>
      <c r="D308" s="0" t="s">
        <v>48</v>
      </c>
      <c r="E308" s="0" t="s">
        <v>43</v>
      </c>
      <c r="F308" s="0" t="s">
        <v>44</v>
      </c>
      <c r="G308" s="0" t="s">
        <v>47</v>
      </c>
      <c r="H308" s="6" t="n">
        <v>27</v>
      </c>
      <c r="I308" s="6" t="n">
        <v>100</v>
      </c>
    </row>
    <row r="309" customFormat="false" ht="15" hidden="false" customHeight="false" outlineLevel="0" collapsed="false">
      <c r="A309" s="0" t="n">
        <v>2025</v>
      </c>
      <c r="B309" s="0" t="n">
        <v>3</v>
      </c>
      <c r="C309" s="0" t="s">
        <v>92</v>
      </c>
      <c r="D309" s="0" t="s">
        <v>49</v>
      </c>
      <c r="E309" s="0" t="s">
        <v>50</v>
      </c>
      <c r="F309" s="0" t="s">
        <v>44</v>
      </c>
      <c r="G309" s="0" t="s">
        <v>47</v>
      </c>
      <c r="H309" s="6" t="n">
        <v>27.1</v>
      </c>
      <c r="I309" s="6" t="n">
        <v>100</v>
      </c>
    </row>
    <row r="310" customFormat="false" ht="15" hidden="false" customHeight="false" outlineLevel="0" collapsed="false">
      <c r="A310" s="0" t="n">
        <v>2025</v>
      </c>
      <c r="B310" s="0" t="n">
        <v>3</v>
      </c>
      <c r="C310" s="0" t="s">
        <v>92</v>
      </c>
      <c r="D310" s="0" t="s">
        <v>51</v>
      </c>
      <c r="E310" s="0" t="s">
        <v>50</v>
      </c>
      <c r="F310" s="0" t="s">
        <v>44</v>
      </c>
      <c r="G310" s="0" t="s">
        <v>47</v>
      </c>
      <c r="H310" s="6" t="n">
        <v>25.9</v>
      </c>
      <c r="I310" s="6" t="n">
        <v>100</v>
      </c>
    </row>
    <row r="311" customFormat="false" ht="15" hidden="false" customHeight="false" outlineLevel="0" collapsed="false">
      <c r="A311" s="0" t="n">
        <v>2025</v>
      </c>
      <c r="B311" s="0" t="n">
        <v>3</v>
      </c>
      <c r="C311" s="0" t="s">
        <v>92</v>
      </c>
      <c r="D311" s="0" t="s">
        <v>52</v>
      </c>
      <c r="E311" s="0" t="s">
        <v>52</v>
      </c>
      <c r="F311" s="0" t="s">
        <v>44</v>
      </c>
      <c r="G311" s="0" t="s">
        <v>47</v>
      </c>
      <c r="H311" s="6" t="n">
        <v>27.3</v>
      </c>
      <c r="I311" s="6" t="n">
        <v>100</v>
      </c>
    </row>
    <row r="312" customFormat="false" ht="15" hidden="false" customHeight="false" outlineLevel="0" collapsed="false">
      <c r="A312" s="0" t="n">
        <v>2025</v>
      </c>
      <c r="B312" s="0" t="n">
        <v>3</v>
      </c>
      <c r="C312" s="0" t="s">
        <v>92</v>
      </c>
      <c r="D312" s="0" t="s">
        <v>42</v>
      </c>
      <c r="E312" s="0" t="s">
        <v>43</v>
      </c>
      <c r="F312" s="0" t="s">
        <v>53</v>
      </c>
      <c r="G312" s="0" t="s">
        <v>45</v>
      </c>
      <c r="H312" s="6" t="n">
        <v>17.1</v>
      </c>
      <c r="I312" s="6" t="n">
        <v>98.3</v>
      </c>
    </row>
    <row r="313" customFormat="false" ht="15" hidden="false" customHeight="false" outlineLevel="0" collapsed="false">
      <c r="A313" s="0" t="n">
        <v>2025</v>
      </c>
      <c r="B313" s="0" t="n">
        <v>3</v>
      </c>
      <c r="C313" s="0" t="s">
        <v>92</v>
      </c>
      <c r="D313" s="0" t="s">
        <v>54</v>
      </c>
      <c r="E313" s="0" t="s">
        <v>43</v>
      </c>
      <c r="F313" s="0" t="s">
        <v>53</v>
      </c>
      <c r="G313" s="0" t="s">
        <v>45</v>
      </c>
      <c r="H313" s="6" t="n">
        <v>14.1</v>
      </c>
      <c r="I313" s="6" t="n">
        <v>98.8</v>
      </c>
    </row>
    <row r="314" customFormat="false" ht="15" hidden="false" customHeight="false" outlineLevel="0" collapsed="false">
      <c r="A314" s="0" t="n">
        <v>2025</v>
      </c>
      <c r="B314" s="0" t="n">
        <v>4</v>
      </c>
      <c r="C314" s="0" t="s">
        <v>93</v>
      </c>
      <c r="D314" s="0" t="s">
        <v>42</v>
      </c>
      <c r="E314" s="0" t="s">
        <v>43</v>
      </c>
      <c r="F314" s="0" t="s">
        <v>44</v>
      </c>
      <c r="G314" s="0" t="s">
        <v>45</v>
      </c>
      <c r="H314" s="6" t="n">
        <v>32.1</v>
      </c>
      <c r="I314" s="6" t="n">
        <v>95.5</v>
      </c>
    </row>
    <row r="315" customFormat="false" ht="15" hidden="false" customHeight="false" outlineLevel="0" collapsed="false">
      <c r="A315" s="0" t="n">
        <v>2025</v>
      </c>
      <c r="B315" s="0" t="n">
        <v>4</v>
      </c>
      <c r="C315" s="0" t="s">
        <v>93</v>
      </c>
      <c r="D315" s="0" t="s">
        <v>46</v>
      </c>
      <c r="E315" s="0" t="s">
        <v>43</v>
      </c>
      <c r="F315" s="0" t="s">
        <v>44</v>
      </c>
      <c r="G315" s="0" t="s">
        <v>47</v>
      </c>
      <c r="H315" s="6" t="n">
        <v>27.5</v>
      </c>
      <c r="I315" s="6" t="n">
        <v>100</v>
      </c>
    </row>
    <row r="316" customFormat="false" ht="15" hidden="false" customHeight="false" outlineLevel="0" collapsed="false">
      <c r="A316" s="0" t="n">
        <v>2025</v>
      </c>
      <c r="B316" s="0" t="n">
        <v>4</v>
      </c>
      <c r="C316" s="0" t="s">
        <v>93</v>
      </c>
      <c r="D316" s="0" t="s">
        <v>48</v>
      </c>
      <c r="E316" s="0" t="s">
        <v>43</v>
      </c>
      <c r="F316" s="0" t="s">
        <v>44</v>
      </c>
      <c r="G316" s="0" t="s">
        <v>47</v>
      </c>
      <c r="H316" s="6" t="n">
        <v>23.9</v>
      </c>
      <c r="I316" s="6" t="n">
        <v>100</v>
      </c>
    </row>
    <row r="317" customFormat="false" ht="15" hidden="false" customHeight="false" outlineLevel="0" collapsed="false">
      <c r="A317" s="0" t="n">
        <v>2025</v>
      </c>
      <c r="B317" s="0" t="n">
        <v>4</v>
      </c>
      <c r="C317" s="0" t="s">
        <v>93</v>
      </c>
      <c r="D317" s="0" t="s">
        <v>49</v>
      </c>
      <c r="E317" s="0" t="s">
        <v>50</v>
      </c>
      <c r="F317" s="0" t="s">
        <v>44</v>
      </c>
      <c r="G317" s="0" t="s">
        <v>47</v>
      </c>
      <c r="H317" s="6" t="n">
        <v>27</v>
      </c>
      <c r="I317" s="6" t="n">
        <v>100</v>
      </c>
    </row>
    <row r="318" customFormat="false" ht="15" hidden="false" customHeight="false" outlineLevel="0" collapsed="false">
      <c r="A318" s="0" t="n">
        <v>2025</v>
      </c>
      <c r="B318" s="0" t="n">
        <v>4</v>
      </c>
      <c r="C318" s="0" t="s">
        <v>93</v>
      </c>
      <c r="D318" s="0" t="s">
        <v>51</v>
      </c>
      <c r="E318" s="0" t="s">
        <v>50</v>
      </c>
      <c r="F318" s="0" t="s">
        <v>44</v>
      </c>
      <c r="G318" s="0" t="s">
        <v>47</v>
      </c>
      <c r="H318" s="6" t="n">
        <v>23.5</v>
      </c>
      <c r="I318" s="6" t="n">
        <v>100</v>
      </c>
    </row>
    <row r="319" customFormat="false" ht="15" hidden="false" customHeight="false" outlineLevel="0" collapsed="false">
      <c r="A319" s="0" t="n">
        <v>2025</v>
      </c>
      <c r="B319" s="0" t="n">
        <v>4</v>
      </c>
      <c r="C319" s="0" t="s">
        <v>93</v>
      </c>
      <c r="D319" s="0" t="s">
        <v>52</v>
      </c>
      <c r="E319" s="0" t="s">
        <v>52</v>
      </c>
      <c r="F319" s="0" t="s">
        <v>44</v>
      </c>
      <c r="G319" s="0" t="s">
        <v>47</v>
      </c>
      <c r="H319" s="6" t="n">
        <v>24.1</v>
      </c>
      <c r="I319" s="6" t="n">
        <v>100</v>
      </c>
    </row>
    <row r="320" customFormat="false" ht="15" hidden="false" customHeight="false" outlineLevel="0" collapsed="false">
      <c r="A320" s="0" t="n">
        <v>2025</v>
      </c>
      <c r="B320" s="0" t="n">
        <v>4</v>
      </c>
      <c r="C320" s="0" t="s">
        <v>93</v>
      </c>
      <c r="D320" s="0" t="s">
        <v>42</v>
      </c>
      <c r="E320" s="0" t="s">
        <v>43</v>
      </c>
      <c r="F320" s="0" t="s">
        <v>53</v>
      </c>
      <c r="G320" s="0" t="s">
        <v>45</v>
      </c>
      <c r="H320" s="6" t="n">
        <v>15.8</v>
      </c>
      <c r="I320" s="6" t="n">
        <v>99.2</v>
      </c>
    </row>
    <row r="321" customFormat="false" ht="15" hidden="false" customHeight="false" outlineLevel="0" collapsed="false">
      <c r="A321" s="0" t="n">
        <v>2025</v>
      </c>
      <c r="B321" s="0" t="n">
        <v>4</v>
      </c>
      <c r="C321" s="0" t="s">
        <v>93</v>
      </c>
      <c r="D321" s="0" t="s">
        <v>54</v>
      </c>
      <c r="E321" s="0" t="s">
        <v>43</v>
      </c>
      <c r="F321" s="0" t="s">
        <v>53</v>
      </c>
      <c r="G321" s="0" t="s">
        <v>45</v>
      </c>
      <c r="H321" s="6" t="n">
        <v>13.6</v>
      </c>
      <c r="I321" s="6" t="n">
        <v>99</v>
      </c>
    </row>
    <row r="322" customFormat="false" ht="15" hidden="false" customHeight="false" outlineLevel="0" collapsed="false">
      <c r="A322" s="0" t="n">
        <v>2025</v>
      </c>
      <c r="B322" s="0" t="n">
        <v>5</v>
      </c>
      <c r="C322" s="0" t="s">
        <v>94</v>
      </c>
      <c r="D322" s="0" t="s">
        <v>42</v>
      </c>
      <c r="E322" s="0" t="s">
        <v>43</v>
      </c>
      <c r="F322" s="0" t="s">
        <v>44</v>
      </c>
      <c r="G322" s="0" t="s">
        <v>45</v>
      </c>
      <c r="H322" s="6" t="n">
        <v>30.2</v>
      </c>
      <c r="I322" s="6" t="n">
        <v>99.9</v>
      </c>
    </row>
    <row r="323" customFormat="false" ht="15" hidden="false" customHeight="false" outlineLevel="0" collapsed="false">
      <c r="A323" s="0" t="n">
        <v>2025</v>
      </c>
      <c r="B323" s="0" t="n">
        <v>5</v>
      </c>
      <c r="C323" s="0" t="s">
        <v>94</v>
      </c>
      <c r="D323" s="0" t="s">
        <v>46</v>
      </c>
      <c r="E323" s="0" t="s">
        <v>43</v>
      </c>
      <c r="F323" s="0" t="s">
        <v>44</v>
      </c>
      <c r="G323" s="0" t="s">
        <v>47</v>
      </c>
      <c r="H323" s="6" t="n">
        <v>26.5</v>
      </c>
      <c r="I323" s="6" t="n">
        <v>100</v>
      </c>
    </row>
    <row r="324" customFormat="false" ht="15" hidden="false" customHeight="false" outlineLevel="0" collapsed="false">
      <c r="A324" s="0" t="n">
        <v>2025</v>
      </c>
      <c r="B324" s="0" t="n">
        <v>5</v>
      </c>
      <c r="C324" s="0" t="s">
        <v>94</v>
      </c>
      <c r="D324" s="0" t="s">
        <v>48</v>
      </c>
      <c r="E324" s="0" t="s">
        <v>43</v>
      </c>
      <c r="F324" s="0" t="s">
        <v>44</v>
      </c>
      <c r="G324" s="0" t="s">
        <v>47</v>
      </c>
      <c r="H324" s="6" t="n">
        <v>24.4</v>
      </c>
      <c r="I324" s="6" t="n">
        <v>100</v>
      </c>
    </row>
    <row r="325" customFormat="false" ht="15" hidden="false" customHeight="false" outlineLevel="0" collapsed="false">
      <c r="A325" s="0" t="n">
        <v>2025</v>
      </c>
      <c r="B325" s="0" t="n">
        <v>5</v>
      </c>
      <c r="C325" s="0" t="s">
        <v>94</v>
      </c>
      <c r="D325" s="0" t="s">
        <v>49</v>
      </c>
      <c r="E325" s="0" t="s">
        <v>50</v>
      </c>
      <c r="F325" s="0" t="s">
        <v>44</v>
      </c>
      <c r="G325" s="0" t="s">
        <v>47</v>
      </c>
      <c r="H325" s="6" t="n">
        <v>25.5</v>
      </c>
      <c r="I325" s="6" t="n">
        <v>100</v>
      </c>
    </row>
    <row r="326" customFormat="false" ht="15" hidden="false" customHeight="false" outlineLevel="0" collapsed="false">
      <c r="A326" s="0" t="n">
        <v>2025</v>
      </c>
      <c r="B326" s="0" t="n">
        <v>5</v>
      </c>
      <c r="C326" s="0" t="s">
        <v>94</v>
      </c>
      <c r="D326" s="0" t="s">
        <v>51</v>
      </c>
      <c r="E326" s="0" t="s">
        <v>50</v>
      </c>
      <c r="F326" s="0" t="s">
        <v>44</v>
      </c>
      <c r="G326" s="0" t="s">
        <v>47</v>
      </c>
      <c r="H326" s="6" t="n">
        <v>22.5</v>
      </c>
      <c r="I326" s="6" t="n">
        <v>100</v>
      </c>
    </row>
    <row r="327" customFormat="false" ht="15" hidden="false" customHeight="false" outlineLevel="0" collapsed="false">
      <c r="A327" s="0" t="n">
        <v>2025</v>
      </c>
      <c r="B327" s="0" t="n">
        <v>5</v>
      </c>
      <c r="C327" s="0" t="s">
        <v>94</v>
      </c>
      <c r="D327" s="0" t="s">
        <v>52</v>
      </c>
      <c r="E327" s="0" t="s">
        <v>52</v>
      </c>
      <c r="F327" s="0" t="s">
        <v>44</v>
      </c>
      <c r="G327" s="0" t="s">
        <v>47</v>
      </c>
      <c r="H327" s="6" t="n">
        <v>24.5</v>
      </c>
      <c r="I327" s="6" t="n">
        <v>100</v>
      </c>
    </row>
    <row r="328" customFormat="false" ht="15" hidden="false" customHeight="false" outlineLevel="0" collapsed="false">
      <c r="A328" s="0" t="n">
        <v>2025</v>
      </c>
      <c r="B328" s="0" t="n">
        <v>5</v>
      </c>
      <c r="C328" s="0" t="s">
        <v>94</v>
      </c>
      <c r="D328" s="0" t="s">
        <v>42</v>
      </c>
      <c r="E328" s="0" t="s">
        <v>43</v>
      </c>
      <c r="F328" s="0" t="s">
        <v>53</v>
      </c>
      <c r="G328" s="0" t="s">
        <v>45</v>
      </c>
      <c r="H328" s="6" t="n">
        <v>15.4</v>
      </c>
      <c r="I328" s="6" t="n">
        <v>99.2</v>
      </c>
    </row>
    <row r="329" customFormat="false" ht="15" hidden="false" customHeight="false" outlineLevel="0" collapsed="false">
      <c r="A329" s="0" t="n">
        <v>2025</v>
      </c>
      <c r="B329" s="0" t="n">
        <v>5</v>
      </c>
      <c r="C329" s="0" t="s">
        <v>94</v>
      </c>
      <c r="D329" s="0" t="s">
        <v>54</v>
      </c>
      <c r="E329" s="0" t="s">
        <v>43</v>
      </c>
      <c r="F329" s="0" t="s">
        <v>53</v>
      </c>
      <c r="G329" s="0" t="s">
        <v>45</v>
      </c>
      <c r="H329" s="6" t="n">
        <v>13</v>
      </c>
      <c r="I329" s="6" t="n">
        <v>99.5</v>
      </c>
    </row>
    <row r="330" customFormat="false" ht="15" hidden="false" customHeight="false" outlineLevel="0" collapsed="false">
      <c r="A330" s="0" t="n">
        <v>2025</v>
      </c>
      <c r="B330" s="0" t="n">
        <v>6</v>
      </c>
      <c r="C330" s="0" t="s">
        <v>95</v>
      </c>
      <c r="D330" s="0" t="s">
        <v>42</v>
      </c>
      <c r="E330" s="0" t="s">
        <v>43</v>
      </c>
      <c r="F330" s="0" t="s">
        <v>44</v>
      </c>
      <c r="G330" s="0" t="s">
        <v>45</v>
      </c>
      <c r="H330" s="6" t="n">
        <v>29.1</v>
      </c>
      <c r="I330" s="6" t="n">
        <v>97.4</v>
      </c>
    </row>
    <row r="331" customFormat="false" ht="15" hidden="false" customHeight="false" outlineLevel="0" collapsed="false">
      <c r="A331" s="0" t="n">
        <v>2025</v>
      </c>
      <c r="B331" s="0" t="n">
        <v>6</v>
      </c>
      <c r="C331" s="0" t="s">
        <v>95</v>
      </c>
      <c r="D331" s="0" t="s">
        <v>46</v>
      </c>
      <c r="E331" s="0" t="s">
        <v>43</v>
      </c>
      <c r="F331" s="0" t="s">
        <v>44</v>
      </c>
      <c r="G331" s="0" t="s">
        <v>47</v>
      </c>
      <c r="H331" s="6" t="n">
        <v>24.5</v>
      </c>
      <c r="I331" s="6" t="n">
        <v>100</v>
      </c>
    </row>
    <row r="332" customFormat="false" ht="15" hidden="false" customHeight="false" outlineLevel="0" collapsed="false">
      <c r="A332" s="0" t="n">
        <v>2025</v>
      </c>
      <c r="B332" s="0" t="n">
        <v>6</v>
      </c>
      <c r="C332" s="0" t="s">
        <v>95</v>
      </c>
      <c r="D332" s="0" t="s">
        <v>48</v>
      </c>
      <c r="E332" s="0" t="s">
        <v>43</v>
      </c>
      <c r="F332" s="0" t="s">
        <v>44</v>
      </c>
      <c r="G332" s="0" t="s">
        <v>47</v>
      </c>
      <c r="H332" s="6" t="n">
        <v>21.8</v>
      </c>
      <c r="I332" s="6" t="n">
        <v>100</v>
      </c>
    </row>
    <row r="333" customFormat="false" ht="15" hidden="false" customHeight="false" outlineLevel="0" collapsed="false">
      <c r="A333" s="0" t="n">
        <v>2025</v>
      </c>
      <c r="B333" s="0" t="n">
        <v>6</v>
      </c>
      <c r="C333" s="0" t="s">
        <v>95</v>
      </c>
      <c r="D333" s="0" t="s">
        <v>49</v>
      </c>
      <c r="E333" s="0" t="s">
        <v>50</v>
      </c>
      <c r="F333" s="0" t="s">
        <v>44</v>
      </c>
      <c r="G333" s="0" t="s">
        <v>47</v>
      </c>
      <c r="H333" s="6" t="n">
        <v>23.8</v>
      </c>
      <c r="I333" s="6" t="n">
        <v>100</v>
      </c>
    </row>
    <row r="334" customFormat="false" ht="15" hidden="false" customHeight="false" outlineLevel="0" collapsed="false">
      <c r="A334" s="0" t="n">
        <v>2025</v>
      </c>
      <c r="B334" s="0" t="n">
        <v>6</v>
      </c>
      <c r="C334" s="0" t="s">
        <v>95</v>
      </c>
      <c r="D334" s="0" t="s">
        <v>51</v>
      </c>
      <c r="E334" s="0" t="s">
        <v>50</v>
      </c>
      <c r="F334" s="0" t="s">
        <v>44</v>
      </c>
      <c r="G334" s="0" t="s">
        <v>47</v>
      </c>
      <c r="H334" s="6" t="n">
        <v>21.8</v>
      </c>
      <c r="I334" s="6" t="n">
        <v>100</v>
      </c>
    </row>
    <row r="335" customFormat="false" ht="15" hidden="false" customHeight="false" outlineLevel="0" collapsed="false">
      <c r="A335" s="0" t="n">
        <v>2025</v>
      </c>
      <c r="B335" s="0" t="n">
        <v>6</v>
      </c>
      <c r="C335" s="0" t="s">
        <v>95</v>
      </c>
      <c r="D335" s="0" t="s">
        <v>52</v>
      </c>
      <c r="E335" s="0" t="s">
        <v>52</v>
      </c>
      <c r="F335" s="0" t="s">
        <v>44</v>
      </c>
      <c r="G335" s="0" t="s">
        <v>47</v>
      </c>
      <c r="H335" s="6" t="n">
        <v>23</v>
      </c>
      <c r="I335" s="6" t="n">
        <v>100</v>
      </c>
    </row>
    <row r="336" customFormat="false" ht="15" hidden="false" customHeight="false" outlineLevel="0" collapsed="false">
      <c r="A336" s="0" t="n">
        <v>2025</v>
      </c>
      <c r="B336" s="0" t="n">
        <v>6</v>
      </c>
      <c r="C336" s="0" t="s">
        <v>95</v>
      </c>
      <c r="D336" s="0" t="s">
        <v>42</v>
      </c>
      <c r="E336" s="0" t="s">
        <v>43</v>
      </c>
      <c r="F336" s="0" t="s">
        <v>53</v>
      </c>
      <c r="G336" s="0" t="s">
        <v>45</v>
      </c>
      <c r="H336" s="6" t="n">
        <v>14.9</v>
      </c>
      <c r="I336" s="6" t="n">
        <v>96.4</v>
      </c>
    </row>
    <row r="337" customFormat="false" ht="15" hidden="false" customHeight="false" outlineLevel="0" collapsed="false">
      <c r="A337" s="0" t="n">
        <v>2025</v>
      </c>
      <c r="B337" s="0" t="n">
        <v>6</v>
      </c>
      <c r="C337" s="0" t="s">
        <v>95</v>
      </c>
      <c r="D337" s="0" t="s">
        <v>54</v>
      </c>
      <c r="E337" s="0" t="s">
        <v>43</v>
      </c>
      <c r="F337" s="0" t="s">
        <v>53</v>
      </c>
      <c r="G337" s="0" t="s">
        <v>45</v>
      </c>
      <c r="H337" s="6" t="n">
        <v>11.9</v>
      </c>
      <c r="I337" s="6" t="n">
        <v>96.4</v>
      </c>
    </row>
    <row r="338" customFormat="false" ht="15" hidden="false" customHeight="false" outlineLevel="0" collapsed="false">
      <c r="A338" s="0" t="n">
        <v>2025</v>
      </c>
      <c r="B338" s="0" t="n">
        <v>7</v>
      </c>
      <c r="C338" s="0" t="s">
        <v>96</v>
      </c>
      <c r="D338" s="0" t="s">
        <v>42</v>
      </c>
      <c r="E338" s="0" t="s">
        <v>43</v>
      </c>
      <c r="F338" s="0" t="s">
        <v>44</v>
      </c>
      <c r="G338" s="0" t="s">
        <v>45</v>
      </c>
      <c r="H338" s="6" t="n">
        <v>27.1</v>
      </c>
      <c r="I338" s="6" t="n">
        <v>96.6</v>
      </c>
    </row>
    <row r="339" customFormat="false" ht="15" hidden="false" customHeight="false" outlineLevel="0" collapsed="false">
      <c r="A339" s="0" t="n">
        <v>2025</v>
      </c>
      <c r="B339" s="0" t="n">
        <v>7</v>
      </c>
      <c r="C339" s="0" t="s">
        <v>96</v>
      </c>
      <c r="D339" s="0" t="s">
        <v>46</v>
      </c>
      <c r="E339" s="0" t="s">
        <v>43</v>
      </c>
      <c r="F339" s="0" t="s">
        <v>44</v>
      </c>
      <c r="G339" s="0" t="s">
        <v>47</v>
      </c>
      <c r="H339" s="6" t="n">
        <v>24.6</v>
      </c>
      <c r="I339" s="6" t="n">
        <v>100</v>
      </c>
    </row>
    <row r="340" customFormat="false" ht="15" hidden="false" customHeight="false" outlineLevel="0" collapsed="false">
      <c r="A340" s="0" t="n">
        <v>2025</v>
      </c>
      <c r="B340" s="0" t="n">
        <v>7</v>
      </c>
      <c r="C340" s="0" t="s">
        <v>96</v>
      </c>
      <c r="D340" s="0" t="s">
        <v>48</v>
      </c>
      <c r="E340" s="0" t="s">
        <v>43</v>
      </c>
      <c r="F340" s="0" t="s">
        <v>44</v>
      </c>
      <c r="G340" s="0" t="s">
        <v>47</v>
      </c>
      <c r="H340" s="6" t="n">
        <v>21.1</v>
      </c>
      <c r="I340" s="6" t="n">
        <v>100</v>
      </c>
    </row>
    <row r="341" customFormat="false" ht="15" hidden="false" customHeight="false" outlineLevel="0" collapsed="false">
      <c r="A341" s="0" t="n">
        <v>2025</v>
      </c>
      <c r="B341" s="0" t="n">
        <v>7</v>
      </c>
      <c r="C341" s="0" t="s">
        <v>96</v>
      </c>
      <c r="D341" s="0" t="s">
        <v>49</v>
      </c>
      <c r="E341" s="0" t="s">
        <v>50</v>
      </c>
      <c r="F341" s="0" t="s">
        <v>44</v>
      </c>
      <c r="G341" s="0" t="s">
        <v>47</v>
      </c>
      <c r="H341" s="6" t="n">
        <v>22.3</v>
      </c>
      <c r="I341" s="6" t="n">
        <v>100</v>
      </c>
    </row>
    <row r="342" customFormat="false" ht="15" hidden="false" customHeight="false" outlineLevel="0" collapsed="false">
      <c r="A342" s="0" t="n">
        <v>2025</v>
      </c>
      <c r="B342" s="0" t="n">
        <v>7</v>
      </c>
      <c r="C342" s="0" t="s">
        <v>96</v>
      </c>
      <c r="D342" s="0" t="s">
        <v>51</v>
      </c>
      <c r="E342" s="0" t="s">
        <v>50</v>
      </c>
      <c r="F342" s="0" t="s">
        <v>44</v>
      </c>
      <c r="G342" s="0" t="s">
        <v>47</v>
      </c>
      <c r="H342" s="6" t="n">
        <v>21.2</v>
      </c>
      <c r="I342" s="6" t="n">
        <v>100</v>
      </c>
    </row>
    <row r="343" customFormat="false" ht="15" hidden="false" customHeight="false" outlineLevel="0" collapsed="false">
      <c r="A343" s="0" t="n">
        <v>2025</v>
      </c>
      <c r="B343" s="0" t="n">
        <v>7</v>
      </c>
      <c r="C343" s="0" t="s">
        <v>96</v>
      </c>
      <c r="D343" s="0" t="s">
        <v>52</v>
      </c>
      <c r="E343" s="0" t="s">
        <v>52</v>
      </c>
      <c r="F343" s="0" t="s">
        <v>44</v>
      </c>
      <c r="G343" s="0" t="s">
        <v>47</v>
      </c>
      <c r="H343" s="6" t="n">
        <v>22.9</v>
      </c>
      <c r="I343" s="6" t="n">
        <v>100</v>
      </c>
    </row>
    <row r="344" customFormat="false" ht="15" hidden="false" customHeight="false" outlineLevel="0" collapsed="false">
      <c r="A344" s="0" t="n">
        <v>2025</v>
      </c>
      <c r="B344" s="0" t="n">
        <v>7</v>
      </c>
      <c r="C344" s="0" t="s">
        <v>96</v>
      </c>
      <c r="D344" s="0" t="s">
        <v>42</v>
      </c>
      <c r="E344" s="0" t="s">
        <v>43</v>
      </c>
      <c r="F344" s="0" t="s">
        <v>53</v>
      </c>
      <c r="G344" s="0" t="s">
        <v>45</v>
      </c>
      <c r="H344" s="6" t="n">
        <v>13.8</v>
      </c>
      <c r="I344" s="6" t="n">
        <v>97</v>
      </c>
    </row>
    <row r="345" customFormat="false" ht="15" hidden="false" customHeight="false" outlineLevel="0" collapsed="false">
      <c r="A345" s="0" t="n">
        <v>2025</v>
      </c>
      <c r="B345" s="0" t="n">
        <v>7</v>
      </c>
      <c r="C345" s="0" t="s">
        <v>96</v>
      </c>
      <c r="D345" s="0" t="s">
        <v>54</v>
      </c>
      <c r="E345" s="0" t="s">
        <v>43</v>
      </c>
      <c r="F345" s="0" t="s">
        <v>53</v>
      </c>
      <c r="G345" s="0" t="s">
        <v>45</v>
      </c>
      <c r="H345" s="6" t="n">
        <v>12.2</v>
      </c>
      <c r="I345" s="6" t="n">
        <v>97.1</v>
      </c>
    </row>
    <row r="346" customFormat="false" ht="15" hidden="false" customHeight="false" outlineLevel="0" collapsed="false">
      <c r="A346" s="0" t="n">
        <v>2025</v>
      </c>
      <c r="B346" s="0" t="n">
        <v>8</v>
      </c>
      <c r="C346" s="0" t="s">
        <v>97</v>
      </c>
      <c r="D346" s="0" t="s">
        <v>42</v>
      </c>
      <c r="E346" s="0" t="s">
        <v>43</v>
      </c>
      <c r="F346" s="0" t="s">
        <v>44</v>
      </c>
      <c r="G346" s="0" t="s">
        <v>45</v>
      </c>
      <c r="H346" s="6" t="n">
        <v>27.5</v>
      </c>
      <c r="I346" s="6" t="n">
        <v>97.1</v>
      </c>
    </row>
    <row r="347" customFormat="false" ht="15" hidden="false" customHeight="false" outlineLevel="0" collapsed="false">
      <c r="A347" s="0" t="n">
        <v>2025</v>
      </c>
      <c r="B347" s="0" t="n">
        <v>8</v>
      </c>
      <c r="C347" s="0" t="s">
        <v>97</v>
      </c>
      <c r="D347" s="0" t="s">
        <v>46</v>
      </c>
      <c r="E347" s="0" t="s">
        <v>43</v>
      </c>
      <c r="F347" s="0" t="s">
        <v>44</v>
      </c>
      <c r="G347" s="0" t="s">
        <v>47</v>
      </c>
      <c r="H347" s="6" t="n">
        <v>26.1</v>
      </c>
      <c r="I347" s="6" t="n">
        <v>100</v>
      </c>
    </row>
    <row r="348" customFormat="false" ht="15" hidden="false" customHeight="false" outlineLevel="0" collapsed="false">
      <c r="A348" s="0" t="n">
        <v>2025</v>
      </c>
      <c r="B348" s="0" t="n">
        <v>8</v>
      </c>
      <c r="C348" s="0" t="s">
        <v>97</v>
      </c>
      <c r="D348" s="0" t="s">
        <v>48</v>
      </c>
      <c r="E348" s="0" t="s">
        <v>43</v>
      </c>
      <c r="F348" s="0" t="s">
        <v>44</v>
      </c>
      <c r="G348" s="0" t="s">
        <v>47</v>
      </c>
      <c r="H348" s="6" t="n">
        <v>22.6</v>
      </c>
      <c r="I348" s="6" t="n">
        <v>100</v>
      </c>
    </row>
    <row r="349" customFormat="false" ht="15" hidden="false" customHeight="false" outlineLevel="0" collapsed="false">
      <c r="A349" s="0" t="n">
        <v>2025</v>
      </c>
      <c r="B349" s="0" t="n">
        <v>8</v>
      </c>
      <c r="C349" s="0" t="s">
        <v>97</v>
      </c>
      <c r="D349" s="0" t="s">
        <v>49</v>
      </c>
      <c r="E349" s="0" t="s">
        <v>50</v>
      </c>
      <c r="F349" s="0" t="s">
        <v>44</v>
      </c>
      <c r="G349" s="0" t="s">
        <v>47</v>
      </c>
      <c r="H349" s="6" t="n">
        <v>23.9</v>
      </c>
      <c r="I349" s="6" t="n">
        <v>100</v>
      </c>
    </row>
    <row r="350" customFormat="false" ht="15" hidden="false" customHeight="false" outlineLevel="0" collapsed="false">
      <c r="A350" s="0" t="n">
        <v>2025</v>
      </c>
      <c r="B350" s="0" t="n">
        <v>8</v>
      </c>
      <c r="C350" s="0" t="s">
        <v>97</v>
      </c>
      <c r="D350" s="0" t="s">
        <v>51</v>
      </c>
      <c r="E350" s="0" t="s">
        <v>50</v>
      </c>
      <c r="F350" s="0" t="s">
        <v>44</v>
      </c>
      <c r="G350" s="0" t="s">
        <v>47</v>
      </c>
      <c r="H350" s="6" t="n">
        <v>22</v>
      </c>
      <c r="I350" s="6" t="n">
        <v>100</v>
      </c>
    </row>
    <row r="351" customFormat="false" ht="15" hidden="false" customHeight="false" outlineLevel="0" collapsed="false">
      <c r="A351" s="0" t="n">
        <v>2025</v>
      </c>
      <c r="B351" s="0" t="n">
        <v>8</v>
      </c>
      <c r="C351" s="0" t="s">
        <v>97</v>
      </c>
      <c r="D351" s="0" t="s">
        <v>52</v>
      </c>
      <c r="E351" s="0" t="s">
        <v>52</v>
      </c>
      <c r="F351" s="0" t="s">
        <v>44</v>
      </c>
      <c r="G351" s="0" t="s">
        <v>47</v>
      </c>
      <c r="H351" s="6" t="n">
        <v>23.5</v>
      </c>
      <c r="I351" s="6" t="n">
        <v>100</v>
      </c>
    </row>
    <row r="352" customFormat="false" ht="15" hidden="false" customHeight="false" outlineLevel="0" collapsed="false">
      <c r="A352" s="0" t="n">
        <v>2025</v>
      </c>
      <c r="B352" s="0" t="n">
        <v>8</v>
      </c>
      <c r="C352" s="0" t="s">
        <v>97</v>
      </c>
      <c r="D352" s="0" t="s">
        <v>42</v>
      </c>
      <c r="E352" s="0" t="s">
        <v>43</v>
      </c>
      <c r="F352" s="0" t="s">
        <v>53</v>
      </c>
      <c r="G352" s="0" t="s">
        <v>45</v>
      </c>
      <c r="H352" s="6" t="n">
        <v>14.5</v>
      </c>
      <c r="I352" s="6" t="n">
        <v>95</v>
      </c>
    </row>
    <row r="353" customFormat="false" ht="15" hidden="false" customHeight="false" outlineLevel="0" collapsed="false">
      <c r="A353" s="0" t="n">
        <v>2025</v>
      </c>
      <c r="B353" s="0" t="n">
        <v>8</v>
      </c>
      <c r="C353" s="0" t="s">
        <v>97</v>
      </c>
      <c r="D353" s="0" t="s">
        <v>54</v>
      </c>
      <c r="E353" s="0" t="s">
        <v>43</v>
      </c>
      <c r="F353" s="0" t="s">
        <v>53</v>
      </c>
      <c r="G353" s="0" t="s">
        <v>45</v>
      </c>
      <c r="H353" s="6" t="n">
        <v>12.2</v>
      </c>
      <c r="I353" s="6" t="n">
        <v>98.8</v>
      </c>
    </row>
    <row r="354" customFormat="false" ht="15" hidden="false" customHeight="false" outlineLevel="0" collapsed="false">
      <c r="A354" s="0" t="n">
        <v>2025</v>
      </c>
      <c r="B354" s="0" t="n">
        <v>9</v>
      </c>
      <c r="C354" s="0" t="s">
        <v>98</v>
      </c>
      <c r="D354" s="0" t="s">
        <v>42</v>
      </c>
      <c r="E354" s="0" t="s">
        <v>43</v>
      </c>
      <c r="F354" s="0" t="s">
        <v>44</v>
      </c>
      <c r="G354" s="0" t="s">
        <v>45</v>
      </c>
      <c r="H354" s="6" t="n">
        <v>31.7</v>
      </c>
      <c r="I354" s="6" t="n">
        <v>99.8</v>
      </c>
    </row>
    <row r="355" customFormat="false" ht="15" hidden="false" customHeight="false" outlineLevel="0" collapsed="false">
      <c r="A355" s="0" t="n">
        <v>2025</v>
      </c>
      <c r="B355" s="0" t="n">
        <v>9</v>
      </c>
      <c r="C355" s="0" t="s">
        <v>98</v>
      </c>
      <c r="D355" s="0" t="s">
        <v>46</v>
      </c>
      <c r="E355" s="0" t="s">
        <v>43</v>
      </c>
      <c r="F355" s="0" t="s">
        <v>44</v>
      </c>
      <c r="G355" s="0" t="s">
        <v>47</v>
      </c>
      <c r="H355" s="6" t="n">
        <v>26.9</v>
      </c>
      <c r="I355" s="6" t="n">
        <v>100</v>
      </c>
    </row>
    <row r="356" customFormat="false" ht="15" hidden="false" customHeight="false" outlineLevel="0" collapsed="false">
      <c r="A356" s="0" t="n">
        <v>2025</v>
      </c>
      <c r="B356" s="0" t="n">
        <v>9</v>
      </c>
      <c r="C356" s="0" t="s">
        <v>98</v>
      </c>
      <c r="D356" s="0" t="s">
        <v>48</v>
      </c>
      <c r="E356" s="0" t="s">
        <v>43</v>
      </c>
      <c r="F356" s="0" t="s">
        <v>44</v>
      </c>
      <c r="G356" s="0" t="s">
        <v>47</v>
      </c>
      <c r="H356" s="6" t="n">
        <v>24.7</v>
      </c>
      <c r="I356" s="6" t="n">
        <v>100</v>
      </c>
    </row>
    <row r="357" customFormat="false" ht="15" hidden="false" customHeight="false" outlineLevel="0" collapsed="false">
      <c r="A357" s="0" t="n">
        <v>2025</v>
      </c>
      <c r="B357" s="0" t="n">
        <v>9</v>
      </c>
      <c r="C357" s="0" t="s">
        <v>98</v>
      </c>
      <c r="D357" s="0" t="s">
        <v>49</v>
      </c>
      <c r="E357" s="0" t="s">
        <v>50</v>
      </c>
      <c r="F357" s="0" t="s">
        <v>44</v>
      </c>
      <c r="G357" s="0" t="s">
        <v>47</v>
      </c>
      <c r="H357" s="6" t="n">
        <v>25.4</v>
      </c>
      <c r="I357" s="6" t="n">
        <v>100</v>
      </c>
    </row>
    <row r="358" customFormat="false" ht="15" hidden="false" customHeight="false" outlineLevel="0" collapsed="false">
      <c r="A358" s="0" t="n">
        <v>2025</v>
      </c>
      <c r="B358" s="0" t="n">
        <v>9</v>
      </c>
      <c r="C358" s="0" t="s">
        <v>98</v>
      </c>
      <c r="D358" s="0" t="s">
        <v>51</v>
      </c>
      <c r="E358" s="0" t="s">
        <v>50</v>
      </c>
      <c r="F358" s="0" t="s">
        <v>44</v>
      </c>
      <c r="G358" s="0" t="s">
        <v>47</v>
      </c>
      <c r="H358" s="6" t="n">
        <v>23.2</v>
      </c>
      <c r="I358" s="6" t="n">
        <v>100</v>
      </c>
    </row>
    <row r="359" customFormat="false" ht="15" hidden="false" customHeight="false" outlineLevel="0" collapsed="false">
      <c r="A359" s="0" t="n">
        <v>2025</v>
      </c>
      <c r="B359" s="0" t="n">
        <v>9</v>
      </c>
      <c r="C359" s="0" t="s">
        <v>98</v>
      </c>
      <c r="D359" s="0" t="s">
        <v>52</v>
      </c>
      <c r="E359" s="0" t="s">
        <v>52</v>
      </c>
      <c r="F359" s="0" t="s">
        <v>44</v>
      </c>
      <c r="G359" s="0" t="s">
        <v>47</v>
      </c>
      <c r="H359" s="6" t="n">
        <v>24</v>
      </c>
      <c r="I359" s="6" t="n">
        <v>100</v>
      </c>
    </row>
    <row r="360" customFormat="false" ht="15" hidden="false" customHeight="false" outlineLevel="0" collapsed="false">
      <c r="A360" s="0" t="n">
        <v>2025</v>
      </c>
      <c r="B360" s="0" t="n">
        <v>9</v>
      </c>
      <c r="C360" s="0" t="s">
        <v>98</v>
      </c>
      <c r="D360" s="0" t="s">
        <v>42</v>
      </c>
      <c r="E360" s="0" t="s">
        <v>43</v>
      </c>
      <c r="F360" s="0" t="s">
        <v>53</v>
      </c>
      <c r="G360" s="0" t="s">
        <v>45</v>
      </c>
      <c r="H360" s="6" t="n">
        <v>15.4</v>
      </c>
      <c r="I360" s="6" t="n">
        <v>97.2</v>
      </c>
    </row>
    <row r="361" customFormat="false" ht="15" hidden="false" customHeight="false" outlineLevel="0" collapsed="false">
      <c r="A361" s="0" t="n">
        <v>2025</v>
      </c>
      <c r="B361" s="0" t="n">
        <v>9</v>
      </c>
      <c r="C361" s="0" t="s">
        <v>98</v>
      </c>
      <c r="D361" s="0" t="s">
        <v>54</v>
      </c>
      <c r="E361" s="0" t="s">
        <v>43</v>
      </c>
      <c r="F361" s="0" t="s">
        <v>53</v>
      </c>
      <c r="G361" s="0" t="s">
        <v>45</v>
      </c>
      <c r="H361" s="6" t="n">
        <v>12.7</v>
      </c>
      <c r="I361" s="6" t="n">
        <v>96.7</v>
      </c>
    </row>
  </sheetData>
  <autoFilter ref="A1:I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39</v>
      </c>
      <c r="F1" s="5" t="s">
        <v>99</v>
      </c>
      <c r="G1" s="5" t="s">
        <v>100</v>
      </c>
      <c r="H1" s="5" t="s">
        <v>101</v>
      </c>
    </row>
    <row r="2" customFormat="false" ht="15" hidden="false" customHeight="false" outlineLevel="0" collapsed="false">
      <c r="A2" s="0" t="str">
        <f aca="false">'Raw Data'!C2</f>
        <v>2022-01</v>
      </c>
      <c r="B2" s="0" t="str">
        <f aca="false">'Raw Data'!D2</f>
        <v>Hope Street (kerbside)</v>
      </c>
      <c r="C2" s="0" t="str">
        <f aca="false">'Raw Data'!E2</f>
        <v>City Centre</v>
      </c>
      <c r="D2" s="0" t="str">
        <f aca="false">'Raw Data'!F2</f>
        <v>NO2</v>
      </c>
      <c r="E2" s="6" t="n">
        <f aca="false">'Raw Data'!H2</f>
        <v>62.2</v>
      </c>
      <c r="F2" s="7" t="n">
        <f aca="false">IF(D2="NO2",40,18)</f>
        <v>40</v>
      </c>
      <c r="G2" s="8" t="n">
        <f aca="false">E2/F2</f>
        <v>1.555</v>
      </c>
      <c r="H2" s="0" t="str">
        <f aca="false">IF(E2&gt;F2,"Exceedance",IF(E2&gt;=F2*0.9,"Watch","Compliant"))</f>
        <v>Exceedance</v>
      </c>
    </row>
    <row r="3" customFormat="false" ht="15" hidden="false" customHeight="false" outlineLevel="0" collapsed="false">
      <c r="A3" s="0" t="str">
        <f aca="false">'Raw Data'!C3</f>
        <v>2022-01</v>
      </c>
      <c r="B3" s="0" t="str">
        <f aca="false">'Raw Data'!D3</f>
        <v>North Street</v>
      </c>
      <c r="C3" s="0" t="str">
        <f aca="false">'Raw Data'!E3</f>
        <v>City Centre</v>
      </c>
      <c r="D3" s="0" t="str">
        <f aca="false">'Raw Data'!F3</f>
        <v>NO2</v>
      </c>
      <c r="E3" s="6" t="n">
        <f aca="false">'Raw Data'!H3</f>
        <v>53.1</v>
      </c>
      <c r="F3" s="7" t="n">
        <f aca="false">IF(D3="NO2",40,18)</f>
        <v>40</v>
      </c>
      <c r="G3" s="8" t="n">
        <f aca="false">E3/F3</f>
        <v>1.3275</v>
      </c>
      <c r="H3" s="0" t="str">
        <f aca="false">IF(E3&gt;F3,"Exceedance",IF(E3&gt;=F3*0.9,"Watch","Compliant"))</f>
        <v>Exceedance</v>
      </c>
    </row>
    <row r="4" customFormat="false" ht="15" hidden="false" customHeight="false" outlineLevel="0" collapsed="false">
      <c r="A4" s="0" t="str">
        <f aca="false">'Raw Data'!C4</f>
        <v>2022-01</v>
      </c>
      <c r="B4" s="0" t="str">
        <f aca="false">'Raw Data'!D4</f>
        <v>Royston Road</v>
      </c>
      <c r="C4" s="0" t="str">
        <f aca="false">'Raw Data'!E4</f>
        <v>City Centre</v>
      </c>
      <c r="D4" s="0" t="str">
        <f aca="false">'Raw Data'!F4</f>
        <v>NO2</v>
      </c>
      <c r="E4" s="6" t="n">
        <f aca="false">'Raw Data'!H4</f>
        <v>47</v>
      </c>
      <c r="F4" s="7" t="n">
        <f aca="false">IF(D4="NO2",40,18)</f>
        <v>40</v>
      </c>
      <c r="G4" s="8" t="n">
        <f aca="false">E4/F4</f>
        <v>1.175</v>
      </c>
      <c r="H4" s="0" t="str">
        <f aca="false">IF(E4&gt;F4,"Exceedance",IF(E4&gt;=F4*0.9,"Watch","Compliant"))</f>
        <v>Exceedance</v>
      </c>
    </row>
    <row r="5" customFormat="false" ht="15" hidden="false" customHeight="false" outlineLevel="0" collapsed="false">
      <c r="A5" s="0" t="str">
        <f aca="false">'Raw Data'!C5</f>
        <v>2022-01</v>
      </c>
      <c r="B5" s="0" t="str">
        <f aca="false">'Raw Data'!D5</f>
        <v>Dumbarton Road</v>
      </c>
      <c r="C5" s="0" t="str">
        <f aca="false">'Raw Data'!E5</f>
        <v>Byres Road/Dumbarton Road</v>
      </c>
      <c r="D5" s="0" t="str">
        <f aca="false">'Raw Data'!F5</f>
        <v>NO2</v>
      </c>
      <c r="E5" s="6" t="n">
        <f aca="false">'Raw Data'!H5</f>
        <v>51.9</v>
      </c>
      <c r="F5" s="7" t="n">
        <f aca="false">IF(D5="NO2",40,18)</f>
        <v>40</v>
      </c>
      <c r="G5" s="8" t="n">
        <f aca="false">E5/F5</f>
        <v>1.2975</v>
      </c>
      <c r="H5" s="0" t="str">
        <f aca="false">IF(E5&gt;F5,"Exceedance",IF(E5&gt;=F5*0.9,"Watch","Compliant"))</f>
        <v>Exceedance</v>
      </c>
    </row>
    <row r="6" customFormat="false" ht="15" hidden="false" customHeight="false" outlineLevel="0" collapsed="false">
      <c r="A6" s="0" t="str">
        <f aca="false">'Raw Data'!C6</f>
        <v>2022-01</v>
      </c>
      <c r="B6" s="0" t="str">
        <f aca="false">'Raw Data'!D6</f>
        <v>Byres Road</v>
      </c>
      <c r="C6" s="0" t="str">
        <f aca="false">'Raw Data'!E6</f>
        <v>Byres Road/Dumbarton Road</v>
      </c>
      <c r="D6" s="0" t="str">
        <f aca="false">'Raw Data'!F6</f>
        <v>NO2</v>
      </c>
      <c r="E6" s="6" t="n">
        <f aca="false">'Raw Data'!H6</f>
        <v>46.8</v>
      </c>
      <c r="F6" s="7" t="n">
        <f aca="false">IF(D6="NO2",40,18)</f>
        <v>40</v>
      </c>
      <c r="G6" s="8" t="n">
        <f aca="false">E6/F6</f>
        <v>1.17</v>
      </c>
      <c r="H6" s="0" t="str">
        <f aca="false">IF(E6&gt;F6,"Exceedance",IF(E6&gt;=F6*0.9,"Watch","Compliant"))</f>
        <v>Exceedance</v>
      </c>
    </row>
    <row r="7" customFormat="false" ht="15" hidden="false" customHeight="false" outlineLevel="0" collapsed="false">
      <c r="A7" s="0" t="str">
        <f aca="false">'Raw Data'!C7</f>
        <v>2022-01</v>
      </c>
      <c r="B7" s="0" t="str">
        <f aca="false">'Raw Data'!D7</f>
        <v>Parkhead Cross</v>
      </c>
      <c r="C7" s="0" t="str">
        <f aca="false">'Raw Data'!E7</f>
        <v>Parkhead Cross</v>
      </c>
      <c r="D7" s="0" t="str">
        <f aca="false">'Raw Data'!F7</f>
        <v>NO2</v>
      </c>
      <c r="E7" s="6" t="n">
        <f aca="false">'Raw Data'!H7</f>
        <v>51.5</v>
      </c>
      <c r="F7" s="7" t="n">
        <f aca="false">IF(D7="NO2",40,18)</f>
        <v>40</v>
      </c>
      <c r="G7" s="8" t="n">
        <f aca="false">E7/F7</f>
        <v>1.2875</v>
      </c>
      <c r="H7" s="0" t="str">
        <f aca="false">IF(E7&gt;F7,"Exceedance",IF(E7&gt;=F7*0.9,"Watch","Compliant"))</f>
        <v>Exceedance</v>
      </c>
    </row>
    <row r="8" customFormat="false" ht="15" hidden="false" customHeight="false" outlineLevel="0" collapsed="false">
      <c r="A8" s="0" t="str">
        <f aca="false">'Raw Data'!C8</f>
        <v>2022-01</v>
      </c>
      <c r="B8" s="0" t="str">
        <f aca="false">'Raw Data'!D8</f>
        <v>Hope Street (kerbside)</v>
      </c>
      <c r="C8" s="0" t="str">
        <f aca="false">'Raw Data'!E8</f>
        <v>City Centre</v>
      </c>
      <c r="D8" s="0" t="str">
        <f aca="false">'Raw Data'!F8</f>
        <v>PM10</v>
      </c>
      <c r="E8" s="6" t="n">
        <f aca="false">'Raw Data'!H8</f>
        <v>21.5</v>
      </c>
      <c r="F8" s="7" t="n">
        <f aca="false">IF(D8="NO2",40,18)</f>
        <v>18</v>
      </c>
      <c r="G8" s="8" t="n">
        <f aca="false">E8/F8</f>
        <v>1.19444444444444</v>
      </c>
      <c r="H8" s="0" t="str">
        <f aca="false">IF(E8&gt;F8,"Exceedance",IF(E8&gt;=F8*0.9,"Watch","Compliant"))</f>
        <v>Exceedance</v>
      </c>
    </row>
    <row r="9" customFormat="false" ht="15" hidden="false" customHeight="false" outlineLevel="0" collapsed="false">
      <c r="A9" s="0" t="str">
        <f aca="false">'Raw Data'!C9</f>
        <v>2022-01</v>
      </c>
      <c r="B9" s="0" t="str">
        <f aca="false">'Raw Data'!D9</f>
        <v>Townhead</v>
      </c>
      <c r="C9" s="0" t="str">
        <f aca="false">'Raw Data'!E9</f>
        <v>City Centre</v>
      </c>
      <c r="D9" s="0" t="str">
        <f aca="false">'Raw Data'!F9</f>
        <v>PM10</v>
      </c>
      <c r="E9" s="6" t="n">
        <f aca="false">'Raw Data'!H9</f>
        <v>18</v>
      </c>
      <c r="F9" s="7" t="n">
        <f aca="false">IF(D9="NO2",40,18)</f>
        <v>18</v>
      </c>
      <c r="G9" s="8" t="n">
        <f aca="false">E9/F9</f>
        <v>1</v>
      </c>
      <c r="H9" s="0" t="str">
        <f aca="false">IF(E9&gt;F9,"Exceedance",IF(E9&gt;=F9*0.9,"Watch","Compliant"))</f>
        <v>Watch</v>
      </c>
    </row>
    <row r="10" customFormat="false" ht="15" hidden="false" customHeight="false" outlineLevel="0" collapsed="false">
      <c r="A10" s="0" t="str">
        <f aca="false">'Raw Data'!C10</f>
        <v>2022-02</v>
      </c>
      <c r="B10" s="0" t="str">
        <f aca="false">'Raw Data'!D10</f>
        <v>Hope Street (kerbside)</v>
      </c>
      <c r="C10" s="0" t="str">
        <f aca="false">'Raw Data'!E10</f>
        <v>City Centre</v>
      </c>
      <c r="D10" s="0" t="str">
        <f aca="false">'Raw Data'!F10</f>
        <v>NO2</v>
      </c>
      <c r="E10" s="6" t="n">
        <f aca="false">'Raw Data'!H10</f>
        <v>59.3</v>
      </c>
      <c r="F10" s="7" t="n">
        <f aca="false">IF(D10="NO2",40,18)</f>
        <v>40</v>
      </c>
      <c r="G10" s="8" t="n">
        <f aca="false">E10/F10</f>
        <v>1.4825</v>
      </c>
      <c r="H10" s="0" t="str">
        <f aca="false">IF(E10&gt;F10,"Exceedance",IF(E10&gt;=F10*0.9,"Watch","Compliant"))</f>
        <v>Exceedance</v>
      </c>
    </row>
    <row r="11" customFormat="false" ht="15" hidden="false" customHeight="false" outlineLevel="0" collapsed="false">
      <c r="A11" s="0" t="str">
        <f aca="false">'Raw Data'!C11</f>
        <v>2022-02</v>
      </c>
      <c r="B11" s="0" t="str">
        <f aca="false">'Raw Data'!D11</f>
        <v>North Street</v>
      </c>
      <c r="C11" s="0" t="str">
        <f aca="false">'Raw Data'!E11</f>
        <v>City Centre</v>
      </c>
      <c r="D11" s="0" t="str">
        <f aca="false">'Raw Data'!F11</f>
        <v>NO2</v>
      </c>
      <c r="E11" s="6" t="n">
        <f aca="false">'Raw Data'!H11</f>
        <v>50.9</v>
      </c>
      <c r="F11" s="7" t="n">
        <f aca="false">IF(D11="NO2",40,18)</f>
        <v>40</v>
      </c>
      <c r="G11" s="8" t="n">
        <f aca="false">E11/F11</f>
        <v>1.2725</v>
      </c>
      <c r="H11" s="0" t="str">
        <f aca="false">IF(E11&gt;F11,"Exceedance",IF(E11&gt;=F11*0.9,"Watch","Compliant"))</f>
        <v>Exceedance</v>
      </c>
    </row>
    <row r="12" customFormat="false" ht="15" hidden="false" customHeight="false" outlineLevel="0" collapsed="false">
      <c r="A12" s="0" t="str">
        <f aca="false">'Raw Data'!C12</f>
        <v>2022-02</v>
      </c>
      <c r="B12" s="0" t="str">
        <f aca="false">'Raw Data'!D12</f>
        <v>Royston Road</v>
      </c>
      <c r="C12" s="0" t="str">
        <f aca="false">'Raw Data'!E12</f>
        <v>City Centre</v>
      </c>
      <c r="D12" s="0" t="str">
        <f aca="false">'Raw Data'!F12</f>
        <v>NO2</v>
      </c>
      <c r="E12" s="6" t="n">
        <f aca="false">'Raw Data'!H12</f>
        <v>47.4</v>
      </c>
      <c r="F12" s="7" t="n">
        <f aca="false">IF(D12="NO2",40,18)</f>
        <v>40</v>
      </c>
      <c r="G12" s="8" t="n">
        <f aca="false">E12/F12</f>
        <v>1.185</v>
      </c>
      <c r="H12" s="0" t="str">
        <f aca="false">IF(E12&gt;F12,"Exceedance",IF(E12&gt;=F12*0.9,"Watch","Compliant"))</f>
        <v>Exceedance</v>
      </c>
    </row>
    <row r="13" customFormat="false" ht="15" hidden="false" customHeight="false" outlineLevel="0" collapsed="false">
      <c r="A13" s="0" t="str">
        <f aca="false">'Raw Data'!C13</f>
        <v>2022-02</v>
      </c>
      <c r="B13" s="0" t="str">
        <f aca="false">'Raw Data'!D13</f>
        <v>Dumbarton Road</v>
      </c>
      <c r="C13" s="0" t="str">
        <f aca="false">'Raw Data'!E13</f>
        <v>Byres Road/Dumbarton Road</v>
      </c>
      <c r="D13" s="0" t="str">
        <f aca="false">'Raw Data'!F13</f>
        <v>NO2</v>
      </c>
      <c r="E13" s="6" t="n">
        <f aca="false">'Raw Data'!H13</f>
        <v>49.2</v>
      </c>
      <c r="F13" s="7" t="n">
        <f aca="false">IF(D13="NO2",40,18)</f>
        <v>40</v>
      </c>
      <c r="G13" s="8" t="n">
        <f aca="false">E13/F13</f>
        <v>1.23</v>
      </c>
      <c r="H13" s="0" t="str">
        <f aca="false">IF(E13&gt;F13,"Exceedance",IF(E13&gt;=F13*0.9,"Watch","Compliant"))</f>
        <v>Exceedance</v>
      </c>
    </row>
    <row r="14" customFormat="false" ht="15" hidden="false" customHeight="false" outlineLevel="0" collapsed="false">
      <c r="A14" s="0" t="str">
        <f aca="false">'Raw Data'!C14</f>
        <v>2022-02</v>
      </c>
      <c r="B14" s="0" t="str">
        <f aca="false">'Raw Data'!D14</f>
        <v>Byres Road</v>
      </c>
      <c r="C14" s="0" t="str">
        <f aca="false">'Raw Data'!E14</f>
        <v>Byres Road/Dumbarton Road</v>
      </c>
      <c r="D14" s="0" t="str">
        <f aca="false">'Raw Data'!F14</f>
        <v>NO2</v>
      </c>
      <c r="E14" s="6" t="n">
        <f aca="false">'Raw Data'!H14</f>
        <v>43.2</v>
      </c>
      <c r="F14" s="7" t="n">
        <f aca="false">IF(D14="NO2",40,18)</f>
        <v>40</v>
      </c>
      <c r="G14" s="8" t="n">
        <f aca="false">E14/F14</f>
        <v>1.08</v>
      </c>
      <c r="H14" s="0" t="str">
        <f aca="false">IF(E14&gt;F14,"Exceedance",IF(E14&gt;=F14*0.9,"Watch","Compliant"))</f>
        <v>Exceedance</v>
      </c>
    </row>
    <row r="15" customFormat="false" ht="15" hidden="false" customHeight="false" outlineLevel="0" collapsed="false">
      <c r="A15" s="0" t="str">
        <f aca="false">'Raw Data'!C15</f>
        <v>2022-02</v>
      </c>
      <c r="B15" s="0" t="str">
        <f aca="false">'Raw Data'!D15</f>
        <v>Parkhead Cross</v>
      </c>
      <c r="C15" s="0" t="str">
        <f aca="false">'Raw Data'!E15</f>
        <v>Parkhead Cross</v>
      </c>
      <c r="D15" s="0" t="str">
        <f aca="false">'Raw Data'!F15</f>
        <v>NO2</v>
      </c>
      <c r="E15" s="6" t="n">
        <f aca="false">'Raw Data'!H15</f>
        <v>48.3</v>
      </c>
      <c r="F15" s="7" t="n">
        <f aca="false">IF(D15="NO2",40,18)</f>
        <v>40</v>
      </c>
      <c r="G15" s="8" t="n">
        <f aca="false">E15/F15</f>
        <v>1.2075</v>
      </c>
      <c r="H15" s="0" t="str">
        <f aca="false">IF(E15&gt;F15,"Exceedance",IF(E15&gt;=F15*0.9,"Watch","Compliant"))</f>
        <v>Exceedance</v>
      </c>
    </row>
    <row r="16" customFormat="false" ht="15" hidden="false" customHeight="false" outlineLevel="0" collapsed="false">
      <c r="A16" s="0" t="str">
        <f aca="false">'Raw Data'!C16</f>
        <v>2022-02</v>
      </c>
      <c r="B16" s="0" t="str">
        <f aca="false">'Raw Data'!D16</f>
        <v>Hope Street (kerbside)</v>
      </c>
      <c r="C16" s="0" t="str">
        <f aca="false">'Raw Data'!E16</f>
        <v>City Centre</v>
      </c>
      <c r="D16" s="0" t="str">
        <f aca="false">'Raw Data'!F16</f>
        <v>PM10</v>
      </c>
      <c r="E16" s="6" t="n">
        <f aca="false">'Raw Data'!H16</f>
        <v>22.3</v>
      </c>
      <c r="F16" s="7" t="n">
        <f aca="false">IF(D16="NO2",40,18)</f>
        <v>18</v>
      </c>
      <c r="G16" s="8" t="n">
        <f aca="false">E16/F16</f>
        <v>1.23888888888889</v>
      </c>
      <c r="H16" s="0" t="str">
        <f aca="false">IF(E16&gt;F16,"Exceedance",IF(E16&gt;=F16*0.9,"Watch","Compliant"))</f>
        <v>Exceedance</v>
      </c>
    </row>
    <row r="17" customFormat="false" ht="15" hidden="false" customHeight="false" outlineLevel="0" collapsed="false">
      <c r="A17" s="0" t="str">
        <f aca="false">'Raw Data'!C17</f>
        <v>2022-02</v>
      </c>
      <c r="B17" s="0" t="str">
        <f aca="false">'Raw Data'!D17</f>
        <v>Townhead</v>
      </c>
      <c r="C17" s="0" t="str">
        <f aca="false">'Raw Data'!E17</f>
        <v>City Centre</v>
      </c>
      <c r="D17" s="0" t="str">
        <f aca="false">'Raw Data'!F17</f>
        <v>PM10</v>
      </c>
      <c r="E17" s="6" t="n">
        <f aca="false">'Raw Data'!H17</f>
        <v>18.8</v>
      </c>
      <c r="F17" s="7" t="n">
        <f aca="false">IF(D17="NO2",40,18)</f>
        <v>18</v>
      </c>
      <c r="G17" s="8" t="n">
        <f aca="false">E17/F17</f>
        <v>1.04444444444444</v>
      </c>
      <c r="H17" s="0" t="str">
        <f aca="false">IF(E17&gt;F17,"Exceedance",IF(E17&gt;=F17*0.9,"Watch","Compliant"))</f>
        <v>Exceedance</v>
      </c>
    </row>
    <row r="18" customFormat="false" ht="15" hidden="false" customHeight="false" outlineLevel="0" collapsed="false">
      <c r="A18" s="0" t="str">
        <f aca="false">'Raw Data'!C18</f>
        <v>2022-03</v>
      </c>
      <c r="B18" s="0" t="str">
        <f aca="false">'Raw Data'!D18</f>
        <v>Hope Street (kerbside)</v>
      </c>
      <c r="C18" s="0" t="str">
        <f aca="false">'Raw Data'!E18</f>
        <v>City Centre</v>
      </c>
      <c r="D18" s="0" t="str">
        <f aca="false">'Raw Data'!F18</f>
        <v>NO2</v>
      </c>
      <c r="E18" s="6" t="n">
        <f aca="false">'Raw Data'!H18</f>
        <v>53.7</v>
      </c>
      <c r="F18" s="7" t="n">
        <f aca="false">IF(D18="NO2",40,18)</f>
        <v>40</v>
      </c>
      <c r="G18" s="8" t="n">
        <f aca="false">E18/F18</f>
        <v>1.3425</v>
      </c>
      <c r="H18" s="0" t="str">
        <f aca="false">IF(E18&gt;F18,"Exceedance",IF(E18&gt;=F18*0.9,"Watch","Compliant"))</f>
        <v>Exceedance</v>
      </c>
    </row>
    <row r="19" customFormat="false" ht="15" hidden="false" customHeight="false" outlineLevel="0" collapsed="false">
      <c r="A19" s="0" t="str">
        <f aca="false">'Raw Data'!C19</f>
        <v>2022-03</v>
      </c>
      <c r="B19" s="0" t="str">
        <f aca="false">'Raw Data'!D19</f>
        <v>North Street</v>
      </c>
      <c r="C19" s="0" t="str">
        <f aca="false">'Raw Data'!E19</f>
        <v>City Centre</v>
      </c>
      <c r="D19" s="0" t="str">
        <f aca="false">'Raw Data'!F19</f>
        <v>NO2</v>
      </c>
      <c r="E19" s="6" t="n">
        <f aca="false">'Raw Data'!H19</f>
        <v>50.5</v>
      </c>
      <c r="F19" s="7" t="n">
        <f aca="false">IF(D19="NO2",40,18)</f>
        <v>40</v>
      </c>
      <c r="G19" s="8" t="n">
        <f aca="false">E19/F19</f>
        <v>1.2625</v>
      </c>
      <c r="H19" s="0" t="str">
        <f aca="false">IF(E19&gt;F19,"Exceedance",IF(E19&gt;=F19*0.9,"Watch","Compliant"))</f>
        <v>Exceedance</v>
      </c>
    </row>
    <row r="20" customFormat="false" ht="15" hidden="false" customHeight="false" outlineLevel="0" collapsed="false">
      <c r="A20" s="0" t="str">
        <f aca="false">'Raw Data'!C20</f>
        <v>2022-03</v>
      </c>
      <c r="B20" s="0" t="str">
        <f aca="false">'Raw Data'!D20</f>
        <v>Royston Road</v>
      </c>
      <c r="C20" s="0" t="str">
        <f aca="false">'Raw Data'!E20</f>
        <v>City Centre</v>
      </c>
      <c r="D20" s="0" t="str">
        <f aca="false">'Raw Data'!F20</f>
        <v>NO2</v>
      </c>
      <c r="E20" s="6" t="n">
        <f aca="false">'Raw Data'!H20</f>
        <v>42.3</v>
      </c>
      <c r="F20" s="7" t="n">
        <f aca="false">IF(D20="NO2",40,18)</f>
        <v>40</v>
      </c>
      <c r="G20" s="8" t="n">
        <f aca="false">E20/F20</f>
        <v>1.0575</v>
      </c>
      <c r="H20" s="0" t="str">
        <f aca="false">IF(E20&gt;F20,"Exceedance",IF(E20&gt;=F20*0.9,"Watch","Compliant"))</f>
        <v>Exceedance</v>
      </c>
    </row>
    <row r="21" customFormat="false" ht="15" hidden="false" customHeight="false" outlineLevel="0" collapsed="false">
      <c r="A21" s="0" t="str">
        <f aca="false">'Raw Data'!C21</f>
        <v>2022-03</v>
      </c>
      <c r="B21" s="0" t="str">
        <f aca="false">'Raw Data'!D21</f>
        <v>Dumbarton Road</v>
      </c>
      <c r="C21" s="0" t="str">
        <f aca="false">'Raw Data'!E21</f>
        <v>Byres Road/Dumbarton Road</v>
      </c>
      <c r="D21" s="0" t="str">
        <f aca="false">'Raw Data'!F21</f>
        <v>NO2</v>
      </c>
      <c r="E21" s="6" t="n">
        <f aca="false">'Raw Data'!H21</f>
        <v>43.3</v>
      </c>
      <c r="F21" s="7" t="n">
        <f aca="false">IF(D21="NO2",40,18)</f>
        <v>40</v>
      </c>
      <c r="G21" s="8" t="n">
        <f aca="false">E21/F21</f>
        <v>1.0825</v>
      </c>
      <c r="H21" s="0" t="str">
        <f aca="false">IF(E21&gt;F21,"Exceedance",IF(E21&gt;=F21*0.9,"Watch","Compliant"))</f>
        <v>Exceedance</v>
      </c>
    </row>
    <row r="22" customFormat="false" ht="15" hidden="false" customHeight="false" outlineLevel="0" collapsed="false">
      <c r="A22" s="0" t="str">
        <f aca="false">'Raw Data'!C22</f>
        <v>2022-03</v>
      </c>
      <c r="B22" s="0" t="str">
        <f aca="false">'Raw Data'!D22</f>
        <v>Byres Road</v>
      </c>
      <c r="C22" s="0" t="str">
        <f aca="false">'Raw Data'!E22</f>
        <v>Byres Road/Dumbarton Road</v>
      </c>
      <c r="D22" s="0" t="str">
        <f aca="false">'Raw Data'!F22</f>
        <v>NO2</v>
      </c>
      <c r="E22" s="6" t="n">
        <f aca="false">'Raw Data'!H22</f>
        <v>39.3</v>
      </c>
      <c r="F22" s="7" t="n">
        <f aca="false">IF(D22="NO2",40,18)</f>
        <v>40</v>
      </c>
      <c r="G22" s="8" t="n">
        <f aca="false">E22/F22</f>
        <v>0.9825</v>
      </c>
      <c r="H22" s="0" t="str">
        <f aca="false">IF(E22&gt;F22,"Exceedance",IF(E22&gt;=F22*0.9,"Watch","Compliant"))</f>
        <v>Watch</v>
      </c>
    </row>
    <row r="23" customFormat="false" ht="15" hidden="false" customHeight="false" outlineLevel="0" collapsed="false">
      <c r="A23" s="0" t="str">
        <f aca="false">'Raw Data'!C23</f>
        <v>2022-03</v>
      </c>
      <c r="B23" s="0" t="str">
        <f aca="false">'Raw Data'!D23</f>
        <v>Parkhead Cross</v>
      </c>
      <c r="C23" s="0" t="str">
        <f aca="false">'Raw Data'!E23</f>
        <v>Parkhead Cross</v>
      </c>
      <c r="D23" s="0" t="str">
        <f aca="false">'Raw Data'!F23</f>
        <v>NO2</v>
      </c>
      <c r="E23" s="6" t="n">
        <f aca="false">'Raw Data'!H23</f>
        <v>45.6</v>
      </c>
      <c r="F23" s="7" t="n">
        <f aca="false">IF(D23="NO2",40,18)</f>
        <v>40</v>
      </c>
      <c r="G23" s="8" t="n">
        <f aca="false">E23/F23</f>
        <v>1.14</v>
      </c>
      <c r="H23" s="0" t="str">
        <f aca="false">IF(E23&gt;F23,"Exceedance",IF(E23&gt;=F23*0.9,"Watch","Compliant"))</f>
        <v>Exceedance</v>
      </c>
    </row>
    <row r="24" customFormat="false" ht="15" hidden="false" customHeight="false" outlineLevel="0" collapsed="false">
      <c r="A24" s="0" t="str">
        <f aca="false">'Raw Data'!C24</f>
        <v>2022-03</v>
      </c>
      <c r="B24" s="0" t="str">
        <f aca="false">'Raw Data'!D24</f>
        <v>Hope Street (kerbside)</v>
      </c>
      <c r="C24" s="0" t="str">
        <f aca="false">'Raw Data'!E24</f>
        <v>City Centre</v>
      </c>
      <c r="D24" s="0" t="str">
        <f aca="false">'Raw Data'!F24</f>
        <v>PM10</v>
      </c>
      <c r="E24" s="6" t="n">
        <f aca="false">'Raw Data'!H24</f>
        <v>20.2</v>
      </c>
      <c r="F24" s="7" t="n">
        <f aca="false">IF(D24="NO2",40,18)</f>
        <v>18</v>
      </c>
      <c r="G24" s="8" t="n">
        <f aca="false">E24/F24</f>
        <v>1.12222222222222</v>
      </c>
      <c r="H24" s="0" t="str">
        <f aca="false">IF(E24&gt;F24,"Exceedance",IF(E24&gt;=F24*0.9,"Watch","Compliant"))</f>
        <v>Exceedance</v>
      </c>
    </row>
    <row r="25" customFormat="false" ht="15" hidden="false" customHeight="false" outlineLevel="0" collapsed="false">
      <c r="A25" s="0" t="str">
        <f aca="false">'Raw Data'!C25</f>
        <v>2022-03</v>
      </c>
      <c r="B25" s="0" t="str">
        <f aca="false">'Raw Data'!D25</f>
        <v>Townhead</v>
      </c>
      <c r="C25" s="0" t="str">
        <f aca="false">'Raw Data'!E25</f>
        <v>City Centre</v>
      </c>
      <c r="D25" s="0" t="str">
        <f aca="false">'Raw Data'!F25</f>
        <v>PM10</v>
      </c>
      <c r="E25" s="6" t="n">
        <f aca="false">'Raw Data'!H25</f>
        <v>17.2</v>
      </c>
      <c r="F25" s="7" t="n">
        <f aca="false">IF(D25="NO2",40,18)</f>
        <v>18</v>
      </c>
      <c r="G25" s="8" t="n">
        <f aca="false">E25/F25</f>
        <v>0.955555555555556</v>
      </c>
      <c r="H25" s="0" t="str">
        <f aca="false">IF(E25&gt;F25,"Exceedance",IF(E25&gt;=F25*0.9,"Watch","Compliant"))</f>
        <v>Watch</v>
      </c>
    </row>
    <row r="26" customFormat="false" ht="15" hidden="false" customHeight="false" outlineLevel="0" collapsed="false">
      <c r="A26" s="0" t="str">
        <f aca="false">'Raw Data'!C26</f>
        <v>2022-04</v>
      </c>
      <c r="B26" s="0" t="str">
        <f aca="false">'Raw Data'!D26</f>
        <v>Hope Street (kerbside)</v>
      </c>
      <c r="C26" s="0" t="str">
        <f aca="false">'Raw Data'!E26</f>
        <v>City Centre</v>
      </c>
      <c r="D26" s="0" t="str">
        <f aca="false">'Raw Data'!F26</f>
        <v>NO2</v>
      </c>
      <c r="E26" s="6" t="n">
        <f aca="false">'Raw Data'!H26</f>
        <v>52.8</v>
      </c>
      <c r="F26" s="7" t="n">
        <f aca="false">IF(D26="NO2",40,18)</f>
        <v>40</v>
      </c>
      <c r="G26" s="8" t="n">
        <f aca="false">E26/F26</f>
        <v>1.32</v>
      </c>
      <c r="H26" s="0" t="str">
        <f aca="false">IF(E26&gt;F26,"Exceedance",IF(E26&gt;=F26*0.9,"Watch","Compliant"))</f>
        <v>Exceedance</v>
      </c>
    </row>
    <row r="27" customFormat="false" ht="15" hidden="false" customHeight="false" outlineLevel="0" collapsed="false">
      <c r="A27" s="0" t="str">
        <f aca="false">'Raw Data'!C27</f>
        <v>2022-04</v>
      </c>
      <c r="B27" s="0" t="str">
        <f aca="false">'Raw Data'!D27</f>
        <v>North Street</v>
      </c>
      <c r="C27" s="0" t="str">
        <f aca="false">'Raw Data'!E27</f>
        <v>City Centre</v>
      </c>
      <c r="D27" s="0" t="str">
        <f aca="false">'Raw Data'!F27</f>
        <v>NO2</v>
      </c>
      <c r="E27" s="6" t="n">
        <f aca="false">'Raw Data'!H27</f>
        <v>44.9</v>
      </c>
      <c r="F27" s="7" t="n">
        <f aca="false">IF(D27="NO2",40,18)</f>
        <v>40</v>
      </c>
      <c r="G27" s="8" t="n">
        <f aca="false">E27/F27</f>
        <v>1.1225</v>
      </c>
      <c r="H27" s="0" t="str">
        <f aca="false">IF(E27&gt;F27,"Exceedance",IF(E27&gt;=F27*0.9,"Watch","Compliant"))</f>
        <v>Exceedance</v>
      </c>
    </row>
    <row r="28" customFormat="false" ht="15" hidden="false" customHeight="false" outlineLevel="0" collapsed="false">
      <c r="A28" s="0" t="str">
        <f aca="false">'Raw Data'!C28</f>
        <v>2022-04</v>
      </c>
      <c r="B28" s="0" t="str">
        <f aca="false">'Raw Data'!D28</f>
        <v>Royston Road</v>
      </c>
      <c r="C28" s="0" t="str">
        <f aca="false">'Raw Data'!E28</f>
        <v>City Centre</v>
      </c>
      <c r="D28" s="0" t="str">
        <f aca="false">'Raw Data'!F28</f>
        <v>NO2</v>
      </c>
      <c r="E28" s="6" t="n">
        <f aca="false">'Raw Data'!H28</f>
        <v>41.1</v>
      </c>
      <c r="F28" s="7" t="n">
        <f aca="false">IF(D28="NO2",40,18)</f>
        <v>40</v>
      </c>
      <c r="G28" s="8" t="n">
        <f aca="false">E28/F28</f>
        <v>1.0275</v>
      </c>
      <c r="H28" s="0" t="str">
        <f aca="false">IF(E28&gt;F28,"Exceedance",IF(E28&gt;=F28*0.9,"Watch","Compliant"))</f>
        <v>Exceedance</v>
      </c>
    </row>
    <row r="29" customFormat="false" ht="15" hidden="false" customHeight="false" outlineLevel="0" collapsed="false">
      <c r="A29" s="0" t="str">
        <f aca="false">'Raw Data'!C29</f>
        <v>2022-04</v>
      </c>
      <c r="B29" s="0" t="str">
        <f aca="false">'Raw Data'!D29</f>
        <v>Dumbarton Road</v>
      </c>
      <c r="C29" s="0" t="str">
        <f aca="false">'Raw Data'!E29</f>
        <v>Byres Road/Dumbarton Road</v>
      </c>
      <c r="D29" s="0" t="str">
        <f aca="false">'Raw Data'!F29</f>
        <v>NO2</v>
      </c>
      <c r="E29" s="6" t="n">
        <f aca="false">'Raw Data'!H29</f>
        <v>42.2</v>
      </c>
      <c r="F29" s="7" t="n">
        <f aca="false">IF(D29="NO2",40,18)</f>
        <v>40</v>
      </c>
      <c r="G29" s="8" t="n">
        <f aca="false">E29/F29</f>
        <v>1.055</v>
      </c>
      <c r="H29" s="0" t="str">
        <f aca="false">IF(E29&gt;F29,"Exceedance",IF(E29&gt;=F29*0.9,"Watch","Compliant"))</f>
        <v>Exceedance</v>
      </c>
    </row>
    <row r="30" customFormat="false" ht="15" hidden="false" customHeight="false" outlineLevel="0" collapsed="false">
      <c r="A30" s="0" t="str">
        <f aca="false">'Raw Data'!C30</f>
        <v>2022-04</v>
      </c>
      <c r="B30" s="0" t="str">
        <f aca="false">'Raw Data'!D30</f>
        <v>Byres Road</v>
      </c>
      <c r="C30" s="0" t="str">
        <f aca="false">'Raw Data'!E30</f>
        <v>Byres Road/Dumbarton Road</v>
      </c>
      <c r="D30" s="0" t="str">
        <f aca="false">'Raw Data'!F30</f>
        <v>NO2</v>
      </c>
      <c r="E30" s="6" t="n">
        <f aca="false">'Raw Data'!H30</f>
        <v>39.2</v>
      </c>
      <c r="F30" s="7" t="n">
        <f aca="false">IF(D30="NO2",40,18)</f>
        <v>40</v>
      </c>
      <c r="G30" s="8" t="n">
        <f aca="false">E30/F30</f>
        <v>0.98</v>
      </c>
      <c r="H30" s="0" t="str">
        <f aca="false">IF(E30&gt;F30,"Exceedance",IF(E30&gt;=F30*0.9,"Watch","Compliant"))</f>
        <v>Watch</v>
      </c>
    </row>
    <row r="31" customFormat="false" ht="15" hidden="false" customHeight="false" outlineLevel="0" collapsed="false">
      <c r="A31" s="0" t="str">
        <f aca="false">'Raw Data'!C31</f>
        <v>2022-04</v>
      </c>
      <c r="B31" s="0" t="str">
        <f aca="false">'Raw Data'!D31</f>
        <v>Parkhead Cross</v>
      </c>
      <c r="C31" s="0" t="str">
        <f aca="false">'Raw Data'!E31</f>
        <v>Parkhead Cross</v>
      </c>
      <c r="D31" s="0" t="str">
        <f aca="false">'Raw Data'!F31</f>
        <v>NO2</v>
      </c>
      <c r="E31" s="6" t="n">
        <f aca="false">'Raw Data'!H31</f>
        <v>41.1</v>
      </c>
      <c r="F31" s="7" t="n">
        <f aca="false">IF(D31="NO2",40,18)</f>
        <v>40</v>
      </c>
      <c r="G31" s="8" t="n">
        <f aca="false">E31/F31</f>
        <v>1.0275</v>
      </c>
      <c r="H31" s="0" t="str">
        <f aca="false">IF(E31&gt;F31,"Exceedance",IF(E31&gt;=F31*0.9,"Watch","Compliant"))</f>
        <v>Exceedance</v>
      </c>
    </row>
    <row r="32" customFormat="false" ht="15" hidden="false" customHeight="false" outlineLevel="0" collapsed="false">
      <c r="A32" s="0" t="str">
        <f aca="false">'Raw Data'!C32</f>
        <v>2022-04</v>
      </c>
      <c r="B32" s="0" t="str">
        <f aca="false">'Raw Data'!D32</f>
        <v>Hope Street (kerbside)</v>
      </c>
      <c r="C32" s="0" t="str">
        <f aca="false">'Raw Data'!E32</f>
        <v>City Centre</v>
      </c>
      <c r="D32" s="0" t="str">
        <f aca="false">'Raw Data'!F32</f>
        <v>PM10</v>
      </c>
      <c r="E32" s="6" t="n">
        <f aca="false">'Raw Data'!H32</f>
        <v>18.8</v>
      </c>
      <c r="F32" s="7" t="n">
        <f aca="false">IF(D32="NO2",40,18)</f>
        <v>18</v>
      </c>
      <c r="G32" s="8" t="n">
        <f aca="false">E32/F32</f>
        <v>1.04444444444444</v>
      </c>
      <c r="H32" s="0" t="str">
        <f aca="false">IF(E32&gt;F32,"Exceedance",IF(E32&gt;=F32*0.9,"Watch","Compliant"))</f>
        <v>Exceedance</v>
      </c>
    </row>
    <row r="33" customFormat="false" ht="15" hidden="false" customHeight="false" outlineLevel="0" collapsed="false">
      <c r="A33" s="0" t="str">
        <f aca="false">'Raw Data'!C33</f>
        <v>2022-04</v>
      </c>
      <c r="B33" s="0" t="str">
        <f aca="false">'Raw Data'!D33</f>
        <v>Townhead</v>
      </c>
      <c r="C33" s="0" t="str">
        <f aca="false">'Raw Data'!E33</f>
        <v>City Centre</v>
      </c>
      <c r="D33" s="0" t="str">
        <f aca="false">'Raw Data'!F33</f>
        <v>PM10</v>
      </c>
      <c r="E33" s="6" t="n">
        <f aca="false">'Raw Data'!H33</f>
        <v>15.1</v>
      </c>
      <c r="F33" s="7" t="n">
        <f aca="false">IF(D33="NO2",40,18)</f>
        <v>18</v>
      </c>
      <c r="G33" s="8" t="n">
        <f aca="false">E33/F33</f>
        <v>0.838888888888889</v>
      </c>
      <c r="H33" s="0" t="str">
        <f aca="false">IF(E33&gt;F33,"Exceedance",IF(E33&gt;=F33*0.9,"Watch","Compliant"))</f>
        <v>Compliant</v>
      </c>
    </row>
    <row r="34" customFormat="false" ht="15" hidden="false" customHeight="false" outlineLevel="0" collapsed="false">
      <c r="A34" s="0" t="str">
        <f aca="false">'Raw Data'!C34</f>
        <v>2022-05</v>
      </c>
      <c r="B34" s="0" t="str">
        <f aca="false">'Raw Data'!D34</f>
        <v>Hope Street (kerbside)</v>
      </c>
      <c r="C34" s="0" t="str">
        <f aca="false">'Raw Data'!E34</f>
        <v>City Centre</v>
      </c>
      <c r="D34" s="0" t="str">
        <f aca="false">'Raw Data'!F34</f>
        <v>NO2</v>
      </c>
      <c r="E34" s="6" t="n">
        <f aca="false">'Raw Data'!H34</f>
        <v>45.8</v>
      </c>
      <c r="F34" s="7" t="n">
        <f aca="false">IF(D34="NO2",40,18)</f>
        <v>40</v>
      </c>
      <c r="G34" s="8" t="n">
        <f aca="false">E34/F34</f>
        <v>1.145</v>
      </c>
      <c r="H34" s="0" t="str">
        <f aca="false">IF(E34&gt;F34,"Exceedance",IF(E34&gt;=F34*0.9,"Watch","Compliant"))</f>
        <v>Exceedance</v>
      </c>
    </row>
    <row r="35" customFormat="false" ht="15" hidden="false" customHeight="false" outlineLevel="0" collapsed="false">
      <c r="A35" s="0" t="str">
        <f aca="false">'Raw Data'!C35</f>
        <v>2022-05</v>
      </c>
      <c r="B35" s="0" t="str">
        <f aca="false">'Raw Data'!D35</f>
        <v>North Street</v>
      </c>
      <c r="C35" s="0" t="str">
        <f aca="false">'Raw Data'!E35</f>
        <v>City Centre</v>
      </c>
      <c r="D35" s="0" t="str">
        <f aca="false">'Raw Data'!F35</f>
        <v>NO2</v>
      </c>
      <c r="E35" s="6" t="n">
        <f aca="false">'Raw Data'!H35</f>
        <v>40.6</v>
      </c>
      <c r="F35" s="7" t="n">
        <f aca="false">IF(D35="NO2",40,18)</f>
        <v>40</v>
      </c>
      <c r="G35" s="8" t="n">
        <f aca="false">E35/F35</f>
        <v>1.015</v>
      </c>
      <c r="H35" s="0" t="str">
        <f aca="false">IF(E35&gt;F35,"Exceedance",IF(E35&gt;=F35*0.9,"Watch","Compliant"))</f>
        <v>Exceedance</v>
      </c>
    </row>
    <row r="36" customFormat="false" ht="15" hidden="false" customHeight="false" outlineLevel="0" collapsed="false">
      <c r="A36" s="0" t="str">
        <f aca="false">'Raw Data'!C36</f>
        <v>2022-05</v>
      </c>
      <c r="B36" s="0" t="str">
        <f aca="false">'Raw Data'!D36</f>
        <v>Royston Road</v>
      </c>
      <c r="C36" s="0" t="str">
        <f aca="false">'Raw Data'!E36</f>
        <v>City Centre</v>
      </c>
      <c r="D36" s="0" t="str">
        <f aca="false">'Raw Data'!F36</f>
        <v>NO2</v>
      </c>
      <c r="E36" s="6" t="n">
        <f aca="false">'Raw Data'!H36</f>
        <v>36.9</v>
      </c>
      <c r="F36" s="7" t="n">
        <f aca="false">IF(D36="NO2",40,18)</f>
        <v>40</v>
      </c>
      <c r="G36" s="8" t="n">
        <f aca="false">E36/F36</f>
        <v>0.9225</v>
      </c>
      <c r="H36" s="0" t="str">
        <f aca="false">IF(E36&gt;F36,"Exceedance",IF(E36&gt;=F36*0.9,"Watch","Compliant"))</f>
        <v>Watch</v>
      </c>
    </row>
    <row r="37" customFormat="false" ht="15" hidden="false" customHeight="false" outlineLevel="0" collapsed="false">
      <c r="A37" s="0" t="str">
        <f aca="false">'Raw Data'!C37</f>
        <v>2022-05</v>
      </c>
      <c r="B37" s="0" t="str">
        <f aca="false">'Raw Data'!D37</f>
        <v>Dumbarton Road</v>
      </c>
      <c r="C37" s="0" t="str">
        <f aca="false">'Raw Data'!E37</f>
        <v>Byres Road/Dumbarton Road</v>
      </c>
      <c r="D37" s="0" t="str">
        <f aca="false">'Raw Data'!F37</f>
        <v>NO2</v>
      </c>
      <c r="E37" s="6" t="n">
        <f aca="false">'Raw Data'!H37</f>
        <v>40.1</v>
      </c>
      <c r="F37" s="7" t="n">
        <f aca="false">IF(D37="NO2",40,18)</f>
        <v>40</v>
      </c>
      <c r="G37" s="8" t="n">
        <f aca="false">E37/F37</f>
        <v>1.0025</v>
      </c>
      <c r="H37" s="0" t="str">
        <f aca="false">IF(E37&gt;F37,"Exceedance",IF(E37&gt;=F37*0.9,"Watch","Compliant"))</f>
        <v>Exceedance</v>
      </c>
    </row>
    <row r="38" customFormat="false" ht="15" hidden="false" customHeight="false" outlineLevel="0" collapsed="false">
      <c r="A38" s="0" t="str">
        <f aca="false">'Raw Data'!C38</f>
        <v>2022-05</v>
      </c>
      <c r="B38" s="0" t="str">
        <f aca="false">'Raw Data'!D38</f>
        <v>Byres Road</v>
      </c>
      <c r="C38" s="0" t="str">
        <f aca="false">'Raw Data'!E38</f>
        <v>Byres Road/Dumbarton Road</v>
      </c>
      <c r="D38" s="0" t="str">
        <f aca="false">'Raw Data'!F38</f>
        <v>NO2</v>
      </c>
      <c r="E38" s="6" t="n">
        <f aca="false">'Raw Data'!H38</f>
        <v>35.4</v>
      </c>
      <c r="F38" s="7" t="n">
        <f aca="false">IF(D38="NO2",40,18)</f>
        <v>40</v>
      </c>
      <c r="G38" s="8" t="n">
        <f aca="false">E38/F38</f>
        <v>0.885</v>
      </c>
      <c r="H38" s="0" t="str">
        <f aca="false">IF(E38&gt;F38,"Exceedance",IF(E38&gt;=F38*0.9,"Watch","Compliant"))</f>
        <v>Compliant</v>
      </c>
    </row>
    <row r="39" customFormat="false" ht="15" hidden="false" customHeight="false" outlineLevel="0" collapsed="false">
      <c r="A39" s="0" t="str">
        <f aca="false">'Raw Data'!C39</f>
        <v>2022-05</v>
      </c>
      <c r="B39" s="0" t="str">
        <f aca="false">'Raw Data'!D39</f>
        <v>Parkhead Cross</v>
      </c>
      <c r="C39" s="0" t="str">
        <f aca="false">'Raw Data'!E39</f>
        <v>Parkhead Cross</v>
      </c>
      <c r="D39" s="0" t="str">
        <f aca="false">'Raw Data'!F39</f>
        <v>NO2</v>
      </c>
      <c r="E39" s="6" t="n">
        <f aca="false">'Raw Data'!H39</f>
        <v>38.1</v>
      </c>
      <c r="F39" s="7" t="n">
        <f aca="false">IF(D39="NO2",40,18)</f>
        <v>40</v>
      </c>
      <c r="G39" s="8" t="n">
        <f aca="false">E39/F39</f>
        <v>0.9525</v>
      </c>
      <c r="H39" s="0" t="str">
        <f aca="false">IF(E39&gt;F39,"Exceedance",IF(E39&gt;=F39*0.9,"Watch","Compliant"))</f>
        <v>Watch</v>
      </c>
    </row>
    <row r="40" customFormat="false" ht="15" hidden="false" customHeight="false" outlineLevel="0" collapsed="false">
      <c r="A40" s="0" t="str">
        <f aca="false">'Raw Data'!C40</f>
        <v>2022-05</v>
      </c>
      <c r="B40" s="0" t="str">
        <f aca="false">'Raw Data'!D40</f>
        <v>Hope Street (kerbside)</v>
      </c>
      <c r="C40" s="0" t="str">
        <f aca="false">'Raw Data'!E40</f>
        <v>City Centre</v>
      </c>
      <c r="D40" s="0" t="str">
        <f aca="false">'Raw Data'!F40</f>
        <v>PM10</v>
      </c>
      <c r="E40" s="6" t="n">
        <f aca="false">'Raw Data'!H40</f>
        <v>17</v>
      </c>
      <c r="F40" s="7" t="n">
        <f aca="false">IF(D40="NO2",40,18)</f>
        <v>18</v>
      </c>
      <c r="G40" s="8" t="n">
        <f aca="false">E40/F40</f>
        <v>0.944444444444444</v>
      </c>
      <c r="H40" s="0" t="str">
        <f aca="false">IF(E40&gt;F40,"Exceedance",IF(E40&gt;=F40*0.9,"Watch","Compliant"))</f>
        <v>Watch</v>
      </c>
    </row>
    <row r="41" customFormat="false" ht="15" hidden="false" customHeight="false" outlineLevel="0" collapsed="false">
      <c r="A41" s="0" t="str">
        <f aca="false">'Raw Data'!C41</f>
        <v>2022-05</v>
      </c>
      <c r="B41" s="0" t="str">
        <f aca="false">'Raw Data'!D41</f>
        <v>Townhead</v>
      </c>
      <c r="C41" s="0" t="str">
        <f aca="false">'Raw Data'!E41</f>
        <v>City Centre</v>
      </c>
      <c r="D41" s="0" t="str">
        <f aca="false">'Raw Data'!F41</f>
        <v>PM10</v>
      </c>
      <c r="E41" s="6" t="n">
        <f aca="false">'Raw Data'!H41</f>
        <v>15.4</v>
      </c>
      <c r="F41" s="7" t="n">
        <f aca="false">IF(D41="NO2",40,18)</f>
        <v>18</v>
      </c>
      <c r="G41" s="8" t="n">
        <f aca="false">E41/F41</f>
        <v>0.855555555555556</v>
      </c>
      <c r="H41" s="0" t="str">
        <f aca="false">IF(E41&gt;F41,"Exceedance",IF(E41&gt;=F41*0.9,"Watch","Compliant"))</f>
        <v>Compliant</v>
      </c>
    </row>
    <row r="42" customFormat="false" ht="15" hidden="false" customHeight="false" outlineLevel="0" collapsed="false">
      <c r="A42" s="0" t="str">
        <f aca="false">'Raw Data'!C42</f>
        <v>2022-06</v>
      </c>
      <c r="B42" s="0" t="str">
        <f aca="false">'Raw Data'!D42</f>
        <v>Hope Street (kerbside)</v>
      </c>
      <c r="C42" s="0" t="str">
        <f aca="false">'Raw Data'!E42</f>
        <v>City Centre</v>
      </c>
      <c r="D42" s="0" t="str">
        <f aca="false">'Raw Data'!F42</f>
        <v>NO2</v>
      </c>
      <c r="E42" s="6" t="n">
        <f aca="false">'Raw Data'!H42</f>
        <v>46.3</v>
      </c>
      <c r="F42" s="7" t="n">
        <f aca="false">IF(D42="NO2",40,18)</f>
        <v>40</v>
      </c>
      <c r="G42" s="8" t="n">
        <f aca="false">E42/F42</f>
        <v>1.1575</v>
      </c>
      <c r="H42" s="0" t="str">
        <f aca="false">IF(E42&gt;F42,"Exceedance",IF(E42&gt;=F42*0.9,"Watch","Compliant"))</f>
        <v>Exceedance</v>
      </c>
    </row>
    <row r="43" customFormat="false" ht="15" hidden="false" customHeight="false" outlineLevel="0" collapsed="false">
      <c r="A43" s="0" t="str">
        <f aca="false">'Raw Data'!C43</f>
        <v>2022-06</v>
      </c>
      <c r="B43" s="0" t="str">
        <f aca="false">'Raw Data'!D43</f>
        <v>North Street</v>
      </c>
      <c r="C43" s="0" t="str">
        <f aca="false">'Raw Data'!E43</f>
        <v>City Centre</v>
      </c>
      <c r="D43" s="0" t="str">
        <f aca="false">'Raw Data'!F43</f>
        <v>NO2</v>
      </c>
      <c r="E43" s="6" t="n">
        <f aca="false">'Raw Data'!H43</f>
        <v>41.4</v>
      </c>
      <c r="F43" s="7" t="n">
        <f aca="false">IF(D43="NO2",40,18)</f>
        <v>40</v>
      </c>
      <c r="G43" s="8" t="n">
        <f aca="false">E43/F43</f>
        <v>1.035</v>
      </c>
      <c r="H43" s="0" t="str">
        <f aca="false">IF(E43&gt;F43,"Exceedance",IF(E43&gt;=F43*0.9,"Watch","Compliant"))</f>
        <v>Exceedance</v>
      </c>
    </row>
    <row r="44" customFormat="false" ht="15" hidden="false" customHeight="false" outlineLevel="0" collapsed="false">
      <c r="A44" s="0" t="str">
        <f aca="false">'Raw Data'!C44</f>
        <v>2022-06</v>
      </c>
      <c r="B44" s="0" t="str">
        <f aca="false">'Raw Data'!D44</f>
        <v>Royston Road</v>
      </c>
      <c r="C44" s="0" t="str">
        <f aca="false">'Raw Data'!E44</f>
        <v>City Centre</v>
      </c>
      <c r="D44" s="0" t="str">
        <f aca="false">'Raw Data'!F44</f>
        <v>NO2</v>
      </c>
      <c r="E44" s="6" t="n">
        <f aca="false">'Raw Data'!H44</f>
        <v>34.9</v>
      </c>
      <c r="F44" s="7" t="n">
        <f aca="false">IF(D44="NO2",40,18)</f>
        <v>40</v>
      </c>
      <c r="G44" s="8" t="n">
        <f aca="false">E44/F44</f>
        <v>0.8725</v>
      </c>
      <c r="H44" s="0" t="str">
        <f aca="false">IF(E44&gt;F44,"Exceedance",IF(E44&gt;=F44*0.9,"Watch","Compliant"))</f>
        <v>Compliant</v>
      </c>
    </row>
    <row r="45" customFormat="false" ht="15" hidden="false" customHeight="false" outlineLevel="0" collapsed="false">
      <c r="A45" s="0" t="str">
        <f aca="false">'Raw Data'!C45</f>
        <v>2022-06</v>
      </c>
      <c r="B45" s="0" t="str">
        <f aca="false">'Raw Data'!D45</f>
        <v>Dumbarton Road</v>
      </c>
      <c r="C45" s="0" t="str">
        <f aca="false">'Raw Data'!E45</f>
        <v>Byres Road/Dumbarton Road</v>
      </c>
      <c r="D45" s="0" t="str">
        <f aca="false">'Raw Data'!F45</f>
        <v>NO2</v>
      </c>
      <c r="E45" s="6" t="n">
        <f aca="false">'Raw Data'!H45</f>
        <v>37.4</v>
      </c>
      <c r="F45" s="7" t="n">
        <f aca="false">IF(D45="NO2",40,18)</f>
        <v>40</v>
      </c>
      <c r="G45" s="8" t="n">
        <f aca="false">E45/F45</f>
        <v>0.935</v>
      </c>
      <c r="H45" s="0" t="str">
        <f aca="false">IF(E45&gt;F45,"Exceedance",IF(E45&gt;=F45*0.9,"Watch","Compliant"))</f>
        <v>Watch</v>
      </c>
    </row>
    <row r="46" customFormat="false" ht="15" hidden="false" customHeight="false" outlineLevel="0" collapsed="false">
      <c r="A46" s="0" t="str">
        <f aca="false">'Raw Data'!C46</f>
        <v>2022-06</v>
      </c>
      <c r="B46" s="0" t="str">
        <f aca="false">'Raw Data'!D46</f>
        <v>Byres Road</v>
      </c>
      <c r="C46" s="0" t="str">
        <f aca="false">'Raw Data'!E46</f>
        <v>Byres Road/Dumbarton Road</v>
      </c>
      <c r="D46" s="0" t="str">
        <f aca="false">'Raw Data'!F46</f>
        <v>NO2</v>
      </c>
      <c r="E46" s="6" t="n">
        <f aca="false">'Raw Data'!H46</f>
        <v>36</v>
      </c>
      <c r="F46" s="7" t="n">
        <f aca="false">IF(D46="NO2",40,18)</f>
        <v>40</v>
      </c>
      <c r="G46" s="8" t="n">
        <f aca="false">E46/F46</f>
        <v>0.9</v>
      </c>
      <c r="H46" s="0" t="str">
        <f aca="false">IF(E46&gt;F46,"Exceedance",IF(E46&gt;=F46*0.9,"Watch","Compliant"))</f>
        <v>Watch</v>
      </c>
    </row>
    <row r="47" customFormat="false" ht="15" hidden="false" customHeight="false" outlineLevel="0" collapsed="false">
      <c r="A47" s="0" t="str">
        <f aca="false">'Raw Data'!C47</f>
        <v>2022-06</v>
      </c>
      <c r="B47" s="0" t="str">
        <f aca="false">'Raw Data'!D47</f>
        <v>Parkhead Cross</v>
      </c>
      <c r="C47" s="0" t="str">
        <f aca="false">'Raw Data'!E47</f>
        <v>Parkhead Cross</v>
      </c>
      <c r="D47" s="0" t="str">
        <f aca="false">'Raw Data'!F47</f>
        <v>NO2</v>
      </c>
      <c r="E47" s="6" t="n">
        <f aca="false">'Raw Data'!H47</f>
        <v>37.5</v>
      </c>
      <c r="F47" s="7" t="n">
        <f aca="false">IF(D47="NO2",40,18)</f>
        <v>40</v>
      </c>
      <c r="G47" s="8" t="n">
        <f aca="false">E47/F47</f>
        <v>0.9375</v>
      </c>
      <c r="H47" s="0" t="str">
        <f aca="false">IF(E47&gt;F47,"Exceedance",IF(E47&gt;=F47*0.9,"Watch","Compliant"))</f>
        <v>Watch</v>
      </c>
    </row>
    <row r="48" customFormat="false" ht="15" hidden="false" customHeight="false" outlineLevel="0" collapsed="false">
      <c r="A48" s="0" t="str">
        <f aca="false">'Raw Data'!C48</f>
        <v>2022-06</v>
      </c>
      <c r="B48" s="0" t="str">
        <f aca="false">'Raw Data'!D48</f>
        <v>Hope Street (kerbside)</v>
      </c>
      <c r="C48" s="0" t="str">
        <f aca="false">'Raw Data'!E48</f>
        <v>City Centre</v>
      </c>
      <c r="D48" s="0" t="str">
        <f aca="false">'Raw Data'!F48</f>
        <v>PM10</v>
      </c>
      <c r="E48" s="6" t="n">
        <f aca="false">'Raw Data'!H48</f>
        <v>16.8</v>
      </c>
      <c r="F48" s="7" t="n">
        <f aca="false">IF(D48="NO2",40,18)</f>
        <v>18</v>
      </c>
      <c r="G48" s="8" t="n">
        <f aca="false">E48/F48</f>
        <v>0.933333333333333</v>
      </c>
      <c r="H48" s="0" t="str">
        <f aca="false">IF(E48&gt;F48,"Exceedance",IF(E48&gt;=F48*0.9,"Watch","Compliant"))</f>
        <v>Watch</v>
      </c>
    </row>
    <row r="49" customFormat="false" ht="15" hidden="false" customHeight="false" outlineLevel="0" collapsed="false">
      <c r="A49" s="0" t="str">
        <f aca="false">'Raw Data'!C49</f>
        <v>2022-06</v>
      </c>
      <c r="B49" s="0" t="str">
        <f aca="false">'Raw Data'!D49</f>
        <v>Townhead</v>
      </c>
      <c r="C49" s="0" t="str">
        <f aca="false">'Raw Data'!E49</f>
        <v>City Centre</v>
      </c>
      <c r="D49" s="0" t="str">
        <f aca="false">'Raw Data'!F49</f>
        <v>PM10</v>
      </c>
      <c r="E49" s="6" t="n">
        <f aca="false">'Raw Data'!H49</f>
        <v>14.6</v>
      </c>
      <c r="F49" s="7" t="n">
        <f aca="false">IF(D49="NO2",40,18)</f>
        <v>18</v>
      </c>
      <c r="G49" s="8" t="n">
        <f aca="false">E49/F49</f>
        <v>0.811111111111111</v>
      </c>
      <c r="H49" s="0" t="str">
        <f aca="false">IF(E49&gt;F49,"Exceedance",IF(E49&gt;=F49*0.9,"Watch","Compliant"))</f>
        <v>Compliant</v>
      </c>
    </row>
    <row r="50" customFormat="false" ht="15" hidden="false" customHeight="false" outlineLevel="0" collapsed="false">
      <c r="A50" s="0" t="str">
        <f aca="false">'Raw Data'!C50</f>
        <v>2022-07</v>
      </c>
      <c r="B50" s="0" t="str">
        <f aca="false">'Raw Data'!D50</f>
        <v>Hope Street (kerbside)</v>
      </c>
      <c r="C50" s="0" t="str">
        <f aca="false">'Raw Data'!E50</f>
        <v>City Centre</v>
      </c>
      <c r="D50" s="0" t="str">
        <f aca="false">'Raw Data'!F50</f>
        <v>NO2</v>
      </c>
      <c r="E50" s="6" t="n">
        <f aca="false">'Raw Data'!H50</f>
        <v>43.5</v>
      </c>
      <c r="F50" s="7" t="n">
        <f aca="false">IF(D50="NO2",40,18)</f>
        <v>40</v>
      </c>
      <c r="G50" s="8" t="n">
        <f aca="false">E50/F50</f>
        <v>1.0875</v>
      </c>
      <c r="H50" s="0" t="str">
        <f aca="false">IF(E50&gt;F50,"Exceedance",IF(E50&gt;=F50*0.9,"Watch","Compliant"))</f>
        <v>Exceedance</v>
      </c>
    </row>
    <row r="51" customFormat="false" ht="15" hidden="false" customHeight="false" outlineLevel="0" collapsed="false">
      <c r="A51" s="0" t="str">
        <f aca="false">'Raw Data'!C51</f>
        <v>2022-07</v>
      </c>
      <c r="B51" s="0" t="str">
        <f aca="false">'Raw Data'!D51</f>
        <v>North Street</v>
      </c>
      <c r="C51" s="0" t="str">
        <f aca="false">'Raw Data'!E51</f>
        <v>City Centre</v>
      </c>
      <c r="D51" s="0" t="str">
        <f aca="false">'Raw Data'!F51</f>
        <v>NO2</v>
      </c>
      <c r="E51" s="6" t="n">
        <f aca="false">'Raw Data'!H51</f>
        <v>38.8</v>
      </c>
      <c r="F51" s="7" t="n">
        <f aca="false">IF(D51="NO2",40,18)</f>
        <v>40</v>
      </c>
      <c r="G51" s="8" t="n">
        <f aca="false">E51/F51</f>
        <v>0.97</v>
      </c>
      <c r="H51" s="0" t="str">
        <f aca="false">IF(E51&gt;F51,"Exceedance",IF(E51&gt;=F51*0.9,"Watch","Compliant"))</f>
        <v>Watch</v>
      </c>
    </row>
    <row r="52" customFormat="false" ht="15" hidden="false" customHeight="false" outlineLevel="0" collapsed="false">
      <c r="A52" s="0" t="str">
        <f aca="false">'Raw Data'!C52</f>
        <v>2022-07</v>
      </c>
      <c r="B52" s="0" t="str">
        <f aca="false">'Raw Data'!D52</f>
        <v>Royston Road</v>
      </c>
      <c r="C52" s="0" t="str">
        <f aca="false">'Raw Data'!E52</f>
        <v>City Centre</v>
      </c>
      <c r="D52" s="0" t="str">
        <f aca="false">'Raw Data'!F52</f>
        <v>NO2</v>
      </c>
      <c r="E52" s="6" t="n">
        <f aca="false">'Raw Data'!H52</f>
        <v>34.4</v>
      </c>
      <c r="F52" s="7" t="n">
        <f aca="false">IF(D52="NO2",40,18)</f>
        <v>40</v>
      </c>
      <c r="G52" s="8" t="n">
        <f aca="false">E52/F52</f>
        <v>0.86</v>
      </c>
      <c r="H52" s="0" t="str">
        <f aca="false">IF(E52&gt;F52,"Exceedance",IF(E52&gt;=F52*0.9,"Watch","Compliant"))</f>
        <v>Compliant</v>
      </c>
    </row>
    <row r="53" customFormat="false" ht="15" hidden="false" customHeight="false" outlineLevel="0" collapsed="false">
      <c r="A53" s="0" t="str">
        <f aca="false">'Raw Data'!C53</f>
        <v>2022-07</v>
      </c>
      <c r="B53" s="0" t="str">
        <f aca="false">'Raw Data'!D53</f>
        <v>Dumbarton Road</v>
      </c>
      <c r="C53" s="0" t="str">
        <f aca="false">'Raw Data'!E53</f>
        <v>Byres Road/Dumbarton Road</v>
      </c>
      <c r="D53" s="0" t="str">
        <f aca="false">'Raw Data'!F53</f>
        <v>NO2</v>
      </c>
      <c r="E53" s="6" t="n">
        <f aca="false">'Raw Data'!H53</f>
        <v>35.9</v>
      </c>
      <c r="F53" s="7" t="n">
        <f aca="false">IF(D53="NO2",40,18)</f>
        <v>40</v>
      </c>
      <c r="G53" s="8" t="n">
        <f aca="false">E53/F53</f>
        <v>0.8975</v>
      </c>
      <c r="H53" s="0" t="str">
        <f aca="false">IF(E53&gt;F53,"Exceedance",IF(E53&gt;=F53*0.9,"Watch","Compliant"))</f>
        <v>Compliant</v>
      </c>
    </row>
    <row r="54" customFormat="false" ht="15" hidden="false" customHeight="false" outlineLevel="0" collapsed="false">
      <c r="A54" s="0" t="str">
        <f aca="false">'Raw Data'!C54</f>
        <v>2022-07</v>
      </c>
      <c r="B54" s="0" t="str">
        <f aca="false">'Raw Data'!D54</f>
        <v>Byres Road</v>
      </c>
      <c r="C54" s="0" t="str">
        <f aca="false">'Raw Data'!E54</f>
        <v>Byres Road/Dumbarton Road</v>
      </c>
      <c r="D54" s="0" t="str">
        <f aca="false">'Raw Data'!F54</f>
        <v>NO2</v>
      </c>
      <c r="E54" s="6" t="n">
        <f aca="false">'Raw Data'!H54</f>
        <v>35</v>
      </c>
      <c r="F54" s="7" t="n">
        <f aca="false">IF(D54="NO2",40,18)</f>
        <v>40</v>
      </c>
      <c r="G54" s="8" t="n">
        <f aca="false">E54/F54</f>
        <v>0.875</v>
      </c>
      <c r="H54" s="0" t="str">
        <f aca="false">IF(E54&gt;F54,"Exceedance",IF(E54&gt;=F54*0.9,"Watch","Compliant"))</f>
        <v>Compliant</v>
      </c>
    </row>
    <row r="55" customFormat="false" ht="15" hidden="false" customHeight="false" outlineLevel="0" collapsed="false">
      <c r="A55" s="0" t="str">
        <f aca="false">'Raw Data'!C55</f>
        <v>2022-07</v>
      </c>
      <c r="B55" s="0" t="str">
        <f aca="false">'Raw Data'!D55</f>
        <v>Parkhead Cross</v>
      </c>
      <c r="C55" s="0" t="str">
        <f aca="false">'Raw Data'!E55</f>
        <v>Parkhead Cross</v>
      </c>
      <c r="D55" s="0" t="str">
        <f aca="false">'Raw Data'!F55</f>
        <v>NO2</v>
      </c>
      <c r="E55" s="6" t="n">
        <f aca="false">'Raw Data'!H55</f>
        <v>37.5</v>
      </c>
      <c r="F55" s="7" t="n">
        <f aca="false">IF(D55="NO2",40,18)</f>
        <v>40</v>
      </c>
      <c r="G55" s="8" t="n">
        <f aca="false">E55/F55</f>
        <v>0.9375</v>
      </c>
      <c r="H55" s="0" t="str">
        <f aca="false">IF(E55&gt;F55,"Exceedance",IF(E55&gt;=F55*0.9,"Watch","Compliant"))</f>
        <v>Watch</v>
      </c>
    </row>
    <row r="56" customFormat="false" ht="15" hidden="false" customHeight="false" outlineLevel="0" collapsed="false">
      <c r="A56" s="0" t="str">
        <f aca="false">'Raw Data'!C56</f>
        <v>2022-07</v>
      </c>
      <c r="B56" s="0" t="str">
        <f aca="false">'Raw Data'!D56</f>
        <v>Hope Street (kerbside)</v>
      </c>
      <c r="C56" s="0" t="str">
        <f aca="false">'Raw Data'!E56</f>
        <v>City Centre</v>
      </c>
      <c r="D56" s="0" t="str">
        <f aca="false">'Raw Data'!F56</f>
        <v>PM10</v>
      </c>
      <c r="E56" s="6" t="n">
        <f aca="false">'Raw Data'!H56</f>
        <v>16</v>
      </c>
      <c r="F56" s="7" t="n">
        <f aca="false">IF(D56="NO2",40,18)</f>
        <v>18</v>
      </c>
      <c r="G56" s="8" t="n">
        <f aca="false">E56/F56</f>
        <v>0.888888888888889</v>
      </c>
      <c r="H56" s="0" t="str">
        <f aca="false">IF(E56&gt;F56,"Exceedance",IF(E56&gt;=F56*0.9,"Watch","Compliant"))</f>
        <v>Compliant</v>
      </c>
    </row>
    <row r="57" customFormat="false" ht="15" hidden="false" customHeight="false" outlineLevel="0" collapsed="false">
      <c r="A57" s="0" t="str">
        <f aca="false">'Raw Data'!C57</f>
        <v>2022-07</v>
      </c>
      <c r="B57" s="0" t="str">
        <f aca="false">'Raw Data'!D57</f>
        <v>Townhead</v>
      </c>
      <c r="C57" s="0" t="str">
        <f aca="false">'Raw Data'!E57</f>
        <v>City Centre</v>
      </c>
      <c r="D57" s="0" t="str">
        <f aca="false">'Raw Data'!F57</f>
        <v>PM10</v>
      </c>
      <c r="E57" s="6" t="n">
        <f aca="false">'Raw Data'!H57</f>
        <v>13.6</v>
      </c>
      <c r="F57" s="7" t="n">
        <f aca="false">IF(D57="NO2",40,18)</f>
        <v>18</v>
      </c>
      <c r="G57" s="8" t="n">
        <f aca="false">E57/F57</f>
        <v>0.755555555555556</v>
      </c>
      <c r="H57" s="0" t="str">
        <f aca="false">IF(E57&gt;F57,"Exceedance",IF(E57&gt;=F57*0.9,"Watch","Compliant"))</f>
        <v>Compliant</v>
      </c>
    </row>
    <row r="58" customFormat="false" ht="15" hidden="false" customHeight="false" outlineLevel="0" collapsed="false">
      <c r="A58" s="0" t="str">
        <f aca="false">'Raw Data'!C58</f>
        <v>2022-08</v>
      </c>
      <c r="B58" s="0" t="str">
        <f aca="false">'Raw Data'!D58</f>
        <v>Hope Street (kerbside)</v>
      </c>
      <c r="C58" s="0" t="str">
        <f aca="false">'Raw Data'!E58</f>
        <v>City Centre</v>
      </c>
      <c r="D58" s="0" t="str">
        <f aca="false">'Raw Data'!F58</f>
        <v>NO2</v>
      </c>
      <c r="E58" s="6" t="n">
        <f aca="false">'Raw Data'!H58</f>
        <v>45.6</v>
      </c>
      <c r="F58" s="7" t="n">
        <f aca="false">IF(D58="NO2",40,18)</f>
        <v>40</v>
      </c>
      <c r="G58" s="8" t="n">
        <f aca="false">E58/F58</f>
        <v>1.14</v>
      </c>
      <c r="H58" s="0" t="str">
        <f aca="false">IF(E58&gt;F58,"Exceedance",IF(E58&gt;=F58*0.9,"Watch","Compliant"))</f>
        <v>Exceedance</v>
      </c>
    </row>
    <row r="59" customFormat="false" ht="15" hidden="false" customHeight="false" outlineLevel="0" collapsed="false">
      <c r="A59" s="0" t="str">
        <f aca="false">'Raw Data'!C59</f>
        <v>2022-08</v>
      </c>
      <c r="B59" s="0" t="str">
        <f aca="false">'Raw Data'!D59</f>
        <v>North Street</v>
      </c>
      <c r="C59" s="0" t="str">
        <f aca="false">'Raw Data'!E59</f>
        <v>City Centre</v>
      </c>
      <c r="D59" s="0" t="str">
        <f aca="false">'Raw Data'!F59</f>
        <v>NO2</v>
      </c>
      <c r="E59" s="6" t="n">
        <f aca="false">'Raw Data'!H59</f>
        <v>39.5</v>
      </c>
      <c r="F59" s="7" t="n">
        <f aca="false">IF(D59="NO2",40,18)</f>
        <v>40</v>
      </c>
      <c r="G59" s="8" t="n">
        <f aca="false">E59/F59</f>
        <v>0.9875</v>
      </c>
      <c r="H59" s="0" t="str">
        <f aca="false">IF(E59&gt;F59,"Exceedance",IF(E59&gt;=F59*0.9,"Watch","Compliant"))</f>
        <v>Watch</v>
      </c>
    </row>
    <row r="60" customFormat="false" ht="15" hidden="false" customHeight="false" outlineLevel="0" collapsed="false">
      <c r="A60" s="0" t="str">
        <f aca="false">'Raw Data'!C60</f>
        <v>2022-08</v>
      </c>
      <c r="B60" s="0" t="str">
        <f aca="false">'Raw Data'!D60</f>
        <v>Royston Road</v>
      </c>
      <c r="C60" s="0" t="str">
        <f aca="false">'Raw Data'!E60</f>
        <v>City Centre</v>
      </c>
      <c r="D60" s="0" t="str">
        <f aca="false">'Raw Data'!F60</f>
        <v>NO2</v>
      </c>
      <c r="E60" s="6" t="n">
        <f aca="false">'Raw Data'!H60</f>
        <v>36.3</v>
      </c>
      <c r="F60" s="7" t="n">
        <f aca="false">IF(D60="NO2",40,18)</f>
        <v>40</v>
      </c>
      <c r="G60" s="8" t="n">
        <f aca="false">E60/F60</f>
        <v>0.9075</v>
      </c>
      <c r="H60" s="0" t="str">
        <f aca="false">IF(E60&gt;F60,"Exceedance",IF(E60&gt;=F60*0.9,"Watch","Compliant"))</f>
        <v>Watch</v>
      </c>
    </row>
    <row r="61" customFormat="false" ht="15" hidden="false" customHeight="false" outlineLevel="0" collapsed="false">
      <c r="A61" s="0" t="str">
        <f aca="false">'Raw Data'!C61</f>
        <v>2022-08</v>
      </c>
      <c r="B61" s="0" t="str">
        <f aca="false">'Raw Data'!D61</f>
        <v>Dumbarton Road</v>
      </c>
      <c r="C61" s="0" t="str">
        <f aca="false">'Raw Data'!E61</f>
        <v>Byres Road/Dumbarton Road</v>
      </c>
      <c r="D61" s="0" t="str">
        <f aca="false">'Raw Data'!F61</f>
        <v>NO2</v>
      </c>
      <c r="E61" s="6" t="n">
        <f aca="false">'Raw Data'!H61</f>
        <v>36.9</v>
      </c>
      <c r="F61" s="7" t="n">
        <f aca="false">IF(D61="NO2",40,18)</f>
        <v>40</v>
      </c>
      <c r="G61" s="8" t="n">
        <f aca="false">E61/F61</f>
        <v>0.9225</v>
      </c>
      <c r="H61" s="0" t="str">
        <f aca="false">IF(E61&gt;F61,"Exceedance",IF(E61&gt;=F61*0.9,"Watch","Compliant"))</f>
        <v>Watch</v>
      </c>
    </row>
    <row r="62" customFormat="false" ht="15" hidden="false" customHeight="false" outlineLevel="0" collapsed="false">
      <c r="A62" s="0" t="str">
        <f aca="false">'Raw Data'!C62</f>
        <v>2022-08</v>
      </c>
      <c r="B62" s="0" t="str">
        <f aca="false">'Raw Data'!D62</f>
        <v>Byres Road</v>
      </c>
      <c r="C62" s="0" t="str">
        <f aca="false">'Raw Data'!E62</f>
        <v>Byres Road/Dumbarton Road</v>
      </c>
      <c r="D62" s="0" t="str">
        <f aca="false">'Raw Data'!F62</f>
        <v>NO2</v>
      </c>
      <c r="E62" s="6" t="n">
        <f aca="false">'Raw Data'!H62</f>
        <v>34.6</v>
      </c>
      <c r="F62" s="7" t="n">
        <f aca="false">IF(D62="NO2",40,18)</f>
        <v>40</v>
      </c>
      <c r="G62" s="8" t="n">
        <f aca="false">E62/F62</f>
        <v>0.865</v>
      </c>
      <c r="H62" s="0" t="str">
        <f aca="false">IF(E62&gt;F62,"Exceedance",IF(E62&gt;=F62*0.9,"Watch","Compliant"))</f>
        <v>Compliant</v>
      </c>
    </row>
    <row r="63" customFormat="false" ht="15" hidden="false" customHeight="false" outlineLevel="0" collapsed="false">
      <c r="A63" s="0" t="str">
        <f aca="false">'Raw Data'!C63</f>
        <v>2022-08</v>
      </c>
      <c r="B63" s="0" t="str">
        <f aca="false">'Raw Data'!D63</f>
        <v>Parkhead Cross</v>
      </c>
      <c r="C63" s="0" t="str">
        <f aca="false">'Raw Data'!E63</f>
        <v>Parkhead Cross</v>
      </c>
      <c r="D63" s="0" t="str">
        <f aca="false">'Raw Data'!F63</f>
        <v>NO2</v>
      </c>
      <c r="E63" s="6" t="n">
        <f aca="false">'Raw Data'!H63</f>
        <v>38.4</v>
      </c>
      <c r="F63" s="7" t="n">
        <f aca="false">IF(D63="NO2",40,18)</f>
        <v>40</v>
      </c>
      <c r="G63" s="8" t="n">
        <f aca="false">E63/F63</f>
        <v>0.96</v>
      </c>
      <c r="H63" s="0" t="str">
        <f aca="false">IF(E63&gt;F63,"Exceedance",IF(E63&gt;=F63*0.9,"Watch","Compliant"))</f>
        <v>Watch</v>
      </c>
    </row>
    <row r="64" customFormat="false" ht="15" hidden="false" customHeight="false" outlineLevel="0" collapsed="false">
      <c r="A64" s="0" t="str">
        <f aca="false">'Raw Data'!C64</f>
        <v>2022-08</v>
      </c>
      <c r="B64" s="0" t="str">
        <f aca="false">'Raw Data'!D64</f>
        <v>Hope Street (kerbside)</v>
      </c>
      <c r="C64" s="0" t="str">
        <f aca="false">'Raw Data'!E64</f>
        <v>City Centre</v>
      </c>
      <c r="D64" s="0" t="str">
        <f aca="false">'Raw Data'!F64</f>
        <v>PM10</v>
      </c>
      <c r="E64" s="6" t="n">
        <f aca="false">'Raw Data'!H64</f>
        <v>16.6</v>
      </c>
      <c r="F64" s="7" t="n">
        <f aca="false">IF(D64="NO2",40,18)</f>
        <v>18</v>
      </c>
      <c r="G64" s="8" t="n">
        <f aca="false">E64/F64</f>
        <v>0.922222222222222</v>
      </c>
      <c r="H64" s="0" t="str">
        <f aca="false">IF(E64&gt;F64,"Exceedance",IF(E64&gt;=F64*0.9,"Watch","Compliant"))</f>
        <v>Watch</v>
      </c>
    </row>
    <row r="65" customFormat="false" ht="15" hidden="false" customHeight="false" outlineLevel="0" collapsed="false">
      <c r="A65" s="0" t="str">
        <f aca="false">'Raw Data'!C65</f>
        <v>2022-08</v>
      </c>
      <c r="B65" s="0" t="str">
        <f aca="false">'Raw Data'!D65</f>
        <v>Townhead</v>
      </c>
      <c r="C65" s="0" t="str">
        <f aca="false">'Raw Data'!E65</f>
        <v>City Centre</v>
      </c>
      <c r="D65" s="0" t="str">
        <f aca="false">'Raw Data'!F65</f>
        <v>PM10</v>
      </c>
      <c r="E65" s="6" t="n">
        <f aca="false">'Raw Data'!H65</f>
        <v>14.8</v>
      </c>
      <c r="F65" s="7" t="n">
        <f aca="false">IF(D65="NO2",40,18)</f>
        <v>18</v>
      </c>
      <c r="G65" s="8" t="n">
        <f aca="false">E65/F65</f>
        <v>0.822222222222222</v>
      </c>
      <c r="H65" s="0" t="str">
        <f aca="false">IF(E65&gt;F65,"Exceedance",IF(E65&gt;=F65*0.9,"Watch","Compliant"))</f>
        <v>Compliant</v>
      </c>
    </row>
    <row r="66" customFormat="false" ht="15" hidden="false" customHeight="false" outlineLevel="0" collapsed="false">
      <c r="A66" s="0" t="str">
        <f aca="false">'Raw Data'!C66</f>
        <v>2022-09</v>
      </c>
      <c r="B66" s="0" t="str">
        <f aca="false">'Raw Data'!D66</f>
        <v>Hope Street (kerbside)</v>
      </c>
      <c r="C66" s="0" t="str">
        <f aca="false">'Raw Data'!E66</f>
        <v>City Centre</v>
      </c>
      <c r="D66" s="0" t="str">
        <f aca="false">'Raw Data'!F66</f>
        <v>NO2</v>
      </c>
      <c r="E66" s="6" t="n">
        <f aca="false">'Raw Data'!H66</f>
        <v>47.4</v>
      </c>
      <c r="F66" s="7" t="n">
        <f aca="false">IF(D66="NO2",40,18)</f>
        <v>40</v>
      </c>
      <c r="G66" s="8" t="n">
        <f aca="false">E66/F66</f>
        <v>1.185</v>
      </c>
      <c r="H66" s="0" t="str">
        <f aca="false">IF(E66&gt;F66,"Exceedance",IF(E66&gt;=F66*0.9,"Watch","Compliant"))</f>
        <v>Exceedance</v>
      </c>
    </row>
    <row r="67" customFormat="false" ht="15" hidden="false" customHeight="false" outlineLevel="0" collapsed="false">
      <c r="A67" s="0" t="str">
        <f aca="false">'Raw Data'!C67</f>
        <v>2022-09</v>
      </c>
      <c r="B67" s="0" t="str">
        <f aca="false">'Raw Data'!D67</f>
        <v>North Street</v>
      </c>
      <c r="C67" s="0" t="str">
        <f aca="false">'Raw Data'!E67</f>
        <v>City Centre</v>
      </c>
      <c r="D67" s="0" t="str">
        <f aca="false">'Raw Data'!F67</f>
        <v>NO2</v>
      </c>
      <c r="E67" s="6" t="n">
        <f aca="false">'Raw Data'!H67</f>
        <v>42</v>
      </c>
      <c r="F67" s="7" t="n">
        <f aca="false">IF(D67="NO2",40,18)</f>
        <v>40</v>
      </c>
      <c r="G67" s="8" t="n">
        <f aca="false">E67/F67</f>
        <v>1.05</v>
      </c>
      <c r="H67" s="0" t="str">
        <f aca="false">IF(E67&gt;F67,"Exceedance",IF(E67&gt;=F67*0.9,"Watch","Compliant"))</f>
        <v>Exceedance</v>
      </c>
    </row>
    <row r="68" customFormat="false" ht="15" hidden="false" customHeight="false" outlineLevel="0" collapsed="false">
      <c r="A68" s="0" t="str">
        <f aca="false">'Raw Data'!C68</f>
        <v>2022-09</v>
      </c>
      <c r="B68" s="0" t="str">
        <f aca="false">'Raw Data'!D68</f>
        <v>Royston Road</v>
      </c>
      <c r="C68" s="0" t="str">
        <f aca="false">'Raw Data'!E68</f>
        <v>City Centre</v>
      </c>
      <c r="D68" s="0" t="str">
        <f aca="false">'Raw Data'!F68</f>
        <v>NO2</v>
      </c>
      <c r="E68" s="6" t="n">
        <f aca="false">'Raw Data'!H68</f>
        <v>39.4</v>
      </c>
      <c r="F68" s="7" t="n">
        <f aca="false">IF(D68="NO2",40,18)</f>
        <v>40</v>
      </c>
      <c r="G68" s="8" t="n">
        <f aca="false">E68/F68</f>
        <v>0.985</v>
      </c>
      <c r="H68" s="0" t="str">
        <f aca="false">IF(E68&gt;F68,"Exceedance",IF(E68&gt;=F68*0.9,"Watch","Compliant"))</f>
        <v>Watch</v>
      </c>
    </row>
    <row r="69" customFormat="false" ht="15" hidden="false" customHeight="false" outlineLevel="0" collapsed="false">
      <c r="A69" s="0" t="str">
        <f aca="false">'Raw Data'!C69</f>
        <v>2022-09</v>
      </c>
      <c r="B69" s="0" t="str">
        <f aca="false">'Raw Data'!D69</f>
        <v>Dumbarton Road</v>
      </c>
      <c r="C69" s="0" t="str">
        <f aca="false">'Raw Data'!E69</f>
        <v>Byres Road/Dumbarton Road</v>
      </c>
      <c r="D69" s="0" t="str">
        <f aca="false">'Raw Data'!F69</f>
        <v>NO2</v>
      </c>
      <c r="E69" s="6" t="n">
        <f aca="false">'Raw Data'!H69</f>
        <v>42</v>
      </c>
      <c r="F69" s="7" t="n">
        <f aca="false">IF(D69="NO2",40,18)</f>
        <v>40</v>
      </c>
      <c r="G69" s="8" t="n">
        <f aca="false">E69/F69</f>
        <v>1.05</v>
      </c>
      <c r="H69" s="0" t="str">
        <f aca="false">IF(E69&gt;F69,"Exceedance",IF(E69&gt;=F69*0.9,"Watch","Compliant"))</f>
        <v>Exceedance</v>
      </c>
    </row>
    <row r="70" customFormat="false" ht="15" hidden="false" customHeight="false" outlineLevel="0" collapsed="false">
      <c r="A70" s="0" t="str">
        <f aca="false">'Raw Data'!C70</f>
        <v>2022-09</v>
      </c>
      <c r="B70" s="0" t="str">
        <f aca="false">'Raw Data'!D70</f>
        <v>Byres Road</v>
      </c>
      <c r="C70" s="0" t="str">
        <f aca="false">'Raw Data'!E70</f>
        <v>Byres Road/Dumbarton Road</v>
      </c>
      <c r="D70" s="0" t="str">
        <f aca="false">'Raw Data'!F70</f>
        <v>NO2</v>
      </c>
      <c r="E70" s="6" t="n">
        <f aca="false">'Raw Data'!H70</f>
        <v>36.8</v>
      </c>
      <c r="F70" s="7" t="n">
        <f aca="false">IF(D70="NO2",40,18)</f>
        <v>40</v>
      </c>
      <c r="G70" s="8" t="n">
        <f aca="false">E70/F70</f>
        <v>0.92</v>
      </c>
      <c r="H70" s="0" t="str">
        <f aca="false">IF(E70&gt;F70,"Exceedance",IF(E70&gt;=F70*0.9,"Watch","Compliant"))</f>
        <v>Watch</v>
      </c>
    </row>
    <row r="71" customFormat="false" ht="15" hidden="false" customHeight="false" outlineLevel="0" collapsed="false">
      <c r="A71" s="0" t="str">
        <f aca="false">'Raw Data'!C71</f>
        <v>2022-09</v>
      </c>
      <c r="B71" s="0" t="str">
        <f aca="false">'Raw Data'!D71</f>
        <v>Parkhead Cross</v>
      </c>
      <c r="C71" s="0" t="str">
        <f aca="false">'Raw Data'!E71</f>
        <v>Parkhead Cross</v>
      </c>
      <c r="D71" s="0" t="str">
        <f aca="false">'Raw Data'!F71</f>
        <v>NO2</v>
      </c>
      <c r="E71" s="6" t="n">
        <f aca="false">'Raw Data'!H71</f>
        <v>38.2</v>
      </c>
      <c r="F71" s="7" t="n">
        <f aca="false">IF(D71="NO2",40,18)</f>
        <v>40</v>
      </c>
      <c r="G71" s="8" t="n">
        <f aca="false">E71/F71</f>
        <v>0.955</v>
      </c>
      <c r="H71" s="0" t="str">
        <f aca="false">IF(E71&gt;F71,"Exceedance",IF(E71&gt;=F71*0.9,"Watch","Compliant"))</f>
        <v>Watch</v>
      </c>
    </row>
    <row r="72" customFormat="false" ht="15" hidden="false" customHeight="false" outlineLevel="0" collapsed="false">
      <c r="A72" s="0" t="str">
        <f aca="false">'Raw Data'!C72</f>
        <v>2022-09</v>
      </c>
      <c r="B72" s="0" t="str">
        <f aca="false">'Raw Data'!D72</f>
        <v>Hope Street (kerbside)</v>
      </c>
      <c r="C72" s="0" t="str">
        <f aca="false">'Raw Data'!E72</f>
        <v>City Centre</v>
      </c>
      <c r="D72" s="0" t="str">
        <f aca="false">'Raw Data'!F72</f>
        <v>PM10</v>
      </c>
      <c r="E72" s="6" t="n">
        <f aca="false">'Raw Data'!H72</f>
        <v>17.8</v>
      </c>
      <c r="F72" s="7" t="n">
        <f aca="false">IF(D72="NO2",40,18)</f>
        <v>18</v>
      </c>
      <c r="G72" s="8" t="n">
        <f aca="false">E72/F72</f>
        <v>0.988888888888889</v>
      </c>
      <c r="H72" s="0" t="str">
        <f aca="false">IF(E72&gt;F72,"Exceedance",IF(E72&gt;=F72*0.9,"Watch","Compliant"))</f>
        <v>Watch</v>
      </c>
    </row>
    <row r="73" customFormat="false" ht="15" hidden="false" customHeight="false" outlineLevel="0" collapsed="false">
      <c r="A73" s="0" t="str">
        <f aca="false">'Raw Data'!C73</f>
        <v>2022-09</v>
      </c>
      <c r="B73" s="0" t="str">
        <f aca="false">'Raw Data'!D73</f>
        <v>Townhead</v>
      </c>
      <c r="C73" s="0" t="str">
        <f aca="false">'Raw Data'!E73</f>
        <v>City Centre</v>
      </c>
      <c r="D73" s="0" t="str">
        <f aca="false">'Raw Data'!F73</f>
        <v>PM10</v>
      </c>
      <c r="E73" s="6" t="n">
        <f aca="false">'Raw Data'!H73</f>
        <v>15.2</v>
      </c>
      <c r="F73" s="7" t="n">
        <f aca="false">IF(D73="NO2",40,18)</f>
        <v>18</v>
      </c>
      <c r="G73" s="8" t="n">
        <f aca="false">E73/F73</f>
        <v>0.844444444444444</v>
      </c>
      <c r="H73" s="0" t="str">
        <f aca="false">IF(E73&gt;F73,"Exceedance",IF(E73&gt;=F73*0.9,"Watch","Compliant"))</f>
        <v>Compliant</v>
      </c>
    </row>
    <row r="74" customFormat="false" ht="15" hidden="false" customHeight="false" outlineLevel="0" collapsed="false">
      <c r="A74" s="0" t="str">
        <f aca="false">'Raw Data'!C74</f>
        <v>2022-10</v>
      </c>
      <c r="B74" s="0" t="str">
        <f aca="false">'Raw Data'!D74</f>
        <v>Hope Street (kerbside)</v>
      </c>
      <c r="C74" s="0" t="str">
        <f aca="false">'Raw Data'!E74</f>
        <v>City Centre</v>
      </c>
      <c r="D74" s="0" t="str">
        <f aca="false">'Raw Data'!F74</f>
        <v>NO2</v>
      </c>
      <c r="E74" s="6" t="n">
        <f aca="false">'Raw Data'!H74</f>
        <v>56</v>
      </c>
      <c r="F74" s="7" t="n">
        <f aca="false">IF(D74="NO2",40,18)</f>
        <v>40</v>
      </c>
      <c r="G74" s="8" t="n">
        <f aca="false">E74/F74</f>
        <v>1.4</v>
      </c>
      <c r="H74" s="0" t="str">
        <f aca="false">IF(E74&gt;F74,"Exceedance",IF(E74&gt;=F74*0.9,"Watch","Compliant"))</f>
        <v>Exceedance</v>
      </c>
    </row>
    <row r="75" customFormat="false" ht="15" hidden="false" customHeight="false" outlineLevel="0" collapsed="false">
      <c r="A75" s="0" t="str">
        <f aca="false">'Raw Data'!C75</f>
        <v>2022-10</v>
      </c>
      <c r="B75" s="0" t="str">
        <f aca="false">'Raw Data'!D75</f>
        <v>North Street</v>
      </c>
      <c r="C75" s="0" t="str">
        <f aca="false">'Raw Data'!E75</f>
        <v>City Centre</v>
      </c>
      <c r="D75" s="0" t="str">
        <f aca="false">'Raw Data'!F75</f>
        <v>NO2</v>
      </c>
      <c r="E75" s="6" t="n">
        <f aca="false">'Raw Data'!H75</f>
        <v>48.9</v>
      </c>
      <c r="F75" s="7" t="n">
        <f aca="false">IF(D75="NO2",40,18)</f>
        <v>40</v>
      </c>
      <c r="G75" s="8" t="n">
        <f aca="false">E75/F75</f>
        <v>1.2225</v>
      </c>
      <c r="H75" s="0" t="str">
        <f aca="false">IF(E75&gt;F75,"Exceedance",IF(E75&gt;=F75*0.9,"Watch","Compliant"))</f>
        <v>Exceedance</v>
      </c>
    </row>
    <row r="76" customFormat="false" ht="15" hidden="false" customHeight="false" outlineLevel="0" collapsed="false">
      <c r="A76" s="0" t="str">
        <f aca="false">'Raw Data'!C76</f>
        <v>2022-10</v>
      </c>
      <c r="B76" s="0" t="str">
        <f aca="false">'Raw Data'!D76</f>
        <v>Royston Road</v>
      </c>
      <c r="C76" s="0" t="str">
        <f aca="false">'Raw Data'!E76</f>
        <v>City Centre</v>
      </c>
      <c r="D76" s="0" t="str">
        <f aca="false">'Raw Data'!F76</f>
        <v>NO2</v>
      </c>
      <c r="E76" s="6" t="n">
        <f aca="false">'Raw Data'!H76</f>
        <v>43.4</v>
      </c>
      <c r="F76" s="7" t="n">
        <f aca="false">IF(D76="NO2",40,18)</f>
        <v>40</v>
      </c>
      <c r="G76" s="8" t="n">
        <f aca="false">E76/F76</f>
        <v>1.085</v>
      </c>
      <c r="H76" s="0" t="str">
        <f aca="false">IF(E76&gt;F76,"Exceedance",IF(E76&gt;=F76*0.9,"Watch","Compliant"))</f>
        <v>Exceedance</v>
      </c>
    </row>
    <row r="77" customFormat="false" ht="15" hidden="false" customHeight="false" outlineLevel="0" collapsed="false">
      <c r="A77" s="0" t="str">
        <f aca="false">'Raw Data'!C77</f>
        <v>2022-10</v>
      </c>
      <c r="B77" s="0" t="str">
        <f aca="false">'Raw Data'!D77</f>
        <v>Dumbarton Road</v>
      </c>
      <c r="C77" s="0" t="str">
        <f aca="false">'Raw Data'!E77</f>
        <v>Byres Road/Dumbarton Road</v>
      </c>
      <c r="D77" s="0" t="str">
        <f aca="false">'Raw Data'!F77</f>
        <v>NO2</v>
      </c>
      <c r="E77" s="6" t="n">
        <f aca="false">'Raw Data'!H77</f>
        <v>44.9</v>
      </c>
      <c r="F77" s="7" t="n">
        <f aca="false">IF(D77="NO2",40,18)</f>
        <v>40</v>
      </c>
      <c r="G77" s="8" t="n">
        <f aca="false">E77/F77</f>
        <v>1.1225</v>
      </c>
      <c r="H77" s="0" t="str">
        <f aca="false">IF(E77&gt;F77,"Exceedance",IF(E77&gt;=F77*0.9,"Watch","Compliant"))</f>
        <v>Exceedance</v>
      </c>
    </row>
    <row r="78" customFormat="false" ht="15" hidden="false" customHeight="false" outlineLevel="0" collapsed="false">
      <c r="A78" s="0" t="str">
        <f aca="false">'Raw Data'!C78</f>
        <v>2022-10</v>
      </c>
      <c r="B78" s="0" t="str">
        <f aca="false">'Raw Data'!D78</f>
        <v>Byres Road</v>
      </c>
      <c r="C78" s="0" t="str">
        <f aca="false">'Raw Data'!E78</f>
        <v>Byres Road/Dumbarton Road</v>
      </c>
      <c r="D78" s="0" t="str">
        <f aca="false">'Raw Data'!F78</f>
        <v>NO2</v>
      </c>
      <c r="E78" s="6" t="n">
        <f aca="false">'Raw Data'!H78</f>
        <v>39.6</v>
      </c>
      <c r="F78" s="7" t="n">
        <f aca="false">IF(D78="NO2",40,18)</f>
        <v>40</v>
      </c>
      <c r="G78" s="8" t="n">
        <f aca="false">E78/F78</f>
        <v>0.99</v>
      </c>
      <c r="H78" s="0" t="str">
        <f aca="false">IF(E78&gt;F78,"Exceedance",IF(E78&gt;=F78*0.9,"Watch","Compliant"))</f>
        <v>Watch</v>
      </c>
    </row>
    <row r="79" customFormat="false" ht="15" hidden="false" customHeight="false" outlineLevel="0" collapsed="false">
      <c r="A79" s="0" t="str">
        <f aca="false">'Raw Data'!C79</f>
        <v>2022-10</v>
      </c>
      <c r="B79" s="0" t="str">
        <f aca="false">'Raw Data'!D79</f>
        <v>Parkhead Cross</v>
      </c>
      <c r="C79" s="0" t="str">
        <f aca="false">'Raw Data'!E79</f>
        <v>Parkhead Cross</v>
      </c>
      <c r="D79" s="0" t="str">
        <f aca="false">'Raw Data'!F79</f>
        <v>NO2</v>
      </c>
      <c r="E79" s="6" t="n">
        <f aca="false">'Raw Data'!H79</f>
        <v>44.3</v>
      </c>
      <c r="F79" s="7" t="n">
        <f aca="false">IF(D79="NO2",40,18)</f>
        <v>40</v>
      </c>
      <c r="G79" s="8" t="n">
        <f aca="false">E79/F79</f>
        <v>1.1075</v>
      </c>
      <c r="H79" s="0" t="str">
        <f aca="false">IF(E79&gt;F79,"Exceedance",IF(E79&gt;=F79*0.9,"Watch","Compliant"))</f>
        <v>Exceedance</v>
      </c>
    </row>
    <row r="80" customFormat="false" ht="15" hidden="false" customHeight="false" outlineLevel="0" collapsed="false">
      <c r="A80" s="0" t="str">
        <f aca="false">'Raw Data'!C80</f>
        <v>2022-10</v>
      </c>
      <c r="B80" s="0" t="str">
        <f aca="false">'Raw Data'!D80</f>
        <v>Hope Street (kerbside)</v>
      </c>
      <c r="C80" s="0" t="str">
        <f aca="false">'Raw Data'!E80</f>
        <v>City Centre</v>
      </c>
      <c r="D80" s="0" t="str">
        <f aca="false">'Raw Data'!F80</f>
        <v>PM10</v>
      </c>
      <c r="E80" s="6" t="n">
        <f aca="false">'Raw Data'!H80</f>
        <v>19</v>
      </c>
      <c r="F80" s="7" t="n">
        <f aca="false">IF(D80="NO2",40,18)</f>
        <v>18</v>
      </c>
      <c r="G80" s="8" t="n">
        <f aca="false">E80/F80</f>
        <v>1.05555555555556</v>
      </c>
      <c r="H80" s="0" t="str">
        <f aca="false">IF(E80&gt;F80,"Exceedance",IF(E80&gt;=F80*0.9,"Watch","Compliant"))</f>
        <v>Exceedance</v>
      </c>
    </row>
    <row r="81" customFormat="false" ht="15" hidden="false" customHeight="false" outlineLevel="0" collapsed="false">
      <c r="A81" s="0" t="str">
        <f aca="false">'Raw Data'!C81</f>
        <v>2022-10</v>
      </c>
      <c r="B81" s="0" t="str">
        <f aca="false">'Raw Data'!D81</f>
        <v>Townhead</v>
      </c>
      <c r="C81" s="0" t="str">
        <f aca="false">'Raw Data'!E81</f>
        <v>City Centre</v>
      </c>
      <c r="D81" s="0" t="str">
        <f aca="false">'Raw Data'!F81</f>
        <v>PM10</v>
      </c>
      <c r="E81" s="6" t="n">
        <f aca="false">'Raw Data'!H81</f>
        <v>16.6</v>
      </c>
      <c r="F81" s="7" t="n">
        <f aca="false">IF(D81="NO2",40,18)</f>
        <v>18</v>
      </c>
      <c r="G81" s="8" t="n">
        <f aca="false">E81/F81</f>
        <v>0.922222222222222</v>
      </c>
      <c r="H81" s="0" t="str">
        <f aca="false">IF(E81&gt;F81,"Exceedance",IF(E81&gt;=F81*0.9,"Watch","Compliant"))</f>
        <v>Watch</v>
      </c>
    </row>
    <row r="82" customFormat="false" ht="15" hidden="false" customHeight="false" outlineLevel="0" collapsed="false">
      <c r="A82" s="0" t="str">
        <f aca="false">'Raw Data'!C82</f>
        <v>2022-11</v>
      </c>
      <c r="B82" s="0" t="str">
        <f aca="false">'Raw Data'!D82</f>
        <v>Hope Street (kerbside)</v>
      </c>
      <c r="C82" s="0" t="str">
        <f aca="false">'Raw Data'!E82</f>
        <v>City Centre</v>
      </c>
      <c r="D82" s="0" t="str">
        <f aca="false">'Raw Data'!F82</f>
        <v>NO2</v>
      </c>
      <c r="E82" s="6" t="n">
        <f aca="false">'Raw Data'!H82</f>
        <v>60.4</v>
      </c>
      <c r="F82" s="7" t="n">
        <f aca="false">IF(D82="NO2",40,18)</f>
        <v>40</v>
      </c>
      <c r="G82" s="8" t="n">
        <f aca="false">E82/F82</f>
        <v>1.51</v>
      </c>
      <c r="H82" s="0" t="str">
        <f aca="false">IF(E82&gt;F82,"Exceedance",IF(E82&gt;=F82*0.9,"Watch","Compliant"))</f>
        <v>Exceedance</v>
      </c>
    </row>
    <row r="83" customFormat="false" ht="15" hidden="false" customHeight="false" outlineLevel="0" collapsed="false">
      <c r="A83" s="0" t="str">
        <f aca="false">'Raw Data'!C83</f>
        <v>2022-11</v>
      </c>
      <c r="B83" s="0" t="str">
        <f aca="false">'Raw Data'!D83</f>
        <v>North Street</v>
      </c>
      <c r="C83" s="0" t="str">
        <f aca="false">'Raw Data'!E83</f>
        <v>City Centre</v>
      </c>
      <c r="D83" s="0" t="str">
        <f aca="false">'Raw Data'!F83</f>
        <v>NO2</v>
      </c>
      <c r="E83" s="6" t="n">
        <f aca="false">'Raw Data'!H83</f>
        <v>51.5</v>
      </c>
      <c r="F83" s="7" t="n">
        <f aca="false">IF(D83="NO2",40,18)</f>
        <v>40</v>
      </c>
      <c r="G83" s="8" t="n">
        <f aca="false">E83/F83</f>
        <v>1.2875</v>
      </c>
      <c r="H83" s="0" t="str">
        <f aca="false">IF(E83&gt;F83,"Exceedance",IF(E83&gt;=F83*0.9,"Watch","Compliant"))</f>
        <v>Exceedance</v>
      </c>
    </row>
    <row r="84" customFormat="false" ht="15" hidden="false" customHeight="false" outlineLevel="0" collapsed="false">
      <c r="A84" s="0" t="str">
        <f aca="false">'Raw Data'!C84</f>
        <v>2022-11</v>
      </c>
      <c r="B84" s="0" t="str">
        <f aca="false">'Raw Data'!D84</f>
        <v>Royston Road</v>
      </c>
      <c r="C84" s="0" t="str">
        <f aca="false">'Raw Data'!E84</f>
        <v>City Centre</v>
      </c>
      <c r="D84" s="0" t="str">
        <f aca="false">'Raw Data'!F84</f>
        <v>NO2</v>
      </c>
      <c r="E84" s="6" t="n">
        <f aca="false">'Raw Data'!H84</f>
        <v>44.4</v>
      </c>
      <c r="F84" s="7" t="n">
        <f aca="false">IF(D84="NO2",40,18)</f>
        <v>40</v>
      </c>
      <c r="G84" s="8" t="n">
        <f aca="false">E84/F84</f>
        <v>1.11</v>
      </c>
      <c r="H84" s="0" t="str">
        <f aca="false">IF(E84&gt;F84,"Exceedance",IF(E84&gt;=F84*0.9,"Watch","Compliant"))</f>
        <v>Exceedance</v>
      </c>
    </row>
    <row r="85" customFormat="false" ht="15" hidden="false" customHeight="false" outlineLevel="0" collapsed="false">
      <c r="A85" s="0" t="str">
        <f aca="false">'Raw Data'!C85</f>
        <v>2022-11</v>
      </c>
      <c r="B85" s="0" t="str">
        <f aca="false">'Raw Data'!D85</f>
        <v>Dumbarton Road</v>
      </c>
      <c r="C85" s="0" t="str">
        <f aca="false">'Raw Data'!E85</f>
        <v>Byres Road/Dumbarton Road</v>
      </c>
      <c r="D85" s="0" t="str">
        <f aca="false">'Raw Data'!F85</f>
        <v>NO2</v>
      </c>
      <c r="E85" s="6" t="n">
        <f aca="false">'Raw Data'!H85</f>
        <v>50.1</v>
      </c>
      <c r="F85" s="7" t="n">
        <f aca="false">IF(D85="NO2",40,18)</f>
        <v>40</v>
      </c>
      <c r="G85" s="8" t="n">
        <f aca="false">E85/F85</f>
        <v>1.2525</v>
      </c>
      <c r="H85" s="0" t="str">
        <f aca="false">IF(E85&gt;F85,"Exceedance",IF(E85&gt;=F85*0.9,"Watch","Compliant"))</f>
        <v>Exceedance</v>
      </c>
    </row>
    <row r="86" customFormat="false" ht="15" hidden="false" customHeight="false" outlineLevel="0" collapsed="false">
      <c r="A86" s="0" t="str">
        <f aca="false">'Raw Data'!C86</f>
        <v>2022-11</v>
      </c>
      <c r="B86" s="0" t="str">
        <f aca="false">'Raw Data'!D86</f>
        <v>Byres Road</v>
      </c>
      <c r="C86" s="0" t="str">
        <f aca="false">'Raw Data'!E86</f>
        <v>Byres Road/Dumbarton Road</v>
      </c>
      <c r="D86" s="0" t="str">
        <f aca="false">'Raw Data'!F86</f>
        <v>NO2</v>
      </c>
      <c r="E86" s="6" t="n">
        <f aca="false">'Raw Data'!H86</f>
        <v>45.3</v>
      </c>
      <c r="F86" s="7" t="n">
        <f aca="false">IF(D86="NO2",40,18)</f>
        <v>40</v>
      </c>
      <c r="G86" s="8" t="n">
        <f aca="false">E86/F86</f>
        <v>1.1325</v>
      </c>
      <c r="H86" s="0" t="str">
        <f aca="false">IF(E86&gt;F86,"Exceedance",IF(E86&gt;=F86*0.9,"Watch","Compliant"))</f>
        <v>Exceedance</v>
      </c>
    </row>
    <row r="87" customFormat="false" ht="15" hidden="false" customHeight="false" outlineLevel="0" collapsed="false">
      <c r="A87" s="0" t="str">
        <f aca="false">'Raw Data'!C87</f>
        <v>2022-11</v>
      </c>
      <c r="B87" s="0" t="str">
        <f aca="false">'Raw Data'!D87</f>
        <v>Parkhead Cross</v>
      </c>
      <c r="C87" s="0" t="str">
        <f aca="false">'Raw Data'!E87</f>
        <v>Parkhead Cross</v>
      </c>
      <c r="D87" s="0" t="str">
        <f aca="false">'Raw Data'!F87</f>
        <v>NO2</v>
      </c>
      <c r="E87" s="6" t="n">
        <f aca="false">'Raw Data'!H87</f>
        <v>46.1</v>
      </c>
      <c r="F87" s="7" t="n">
        <f aca="false">IF(D87="NO2",40,18)</f>
        <v>40</v>
      </c>
      <c r="G87" s="8" t="n">
        <f aca="false">E87/F87</f>
        <v>1.1525</v>
      </c>
      <c r="H87" s="0" t="str">
        <f aca="false">IF(E87&gt;F87,"Exceedance",IF(E87&gt;=F87*0.9,"Watch","Compliant"))</f>
        <v>Exceedance</v>
      </c>
    </row>
    <row r="88" customFormat="false" ht="15" hidden="false" customHeight="false" outlineLevel="0" collapsed="false">
      <c r="A88" s="0" t="str">
        <f aca="false">'Raw Data'!C88</f>
        <v>2022-11</v>
      </c>
      <c r="B88" s="0" t="str">
        <f aca="false">'Raw Data'!D88</f>
        <v>Hope Street (kerbside)</v>
      </c>
      <c r="C88" s="0" t="str">
        <f aca="false">'Raw Data'!E88</f>
        <v>City Centre</v>
      </c>
      <c r="D88" s="0" t="str">
        <f aca="false">'Raw Data'!F88</f>
        <v>PM10</v>
      </c>
      <c r="E88" s="6" t="n">
        <f aca="false">'Raw Data'!H88</f>
        <v>21.6</v>
      </c>
      <c r="F88" s="7" t="n">
        <f aca="false">IF(D88="NO2",40,18)</f>
        <v>18</v>
      </c>
      <c r="G88" s="8" t="n">
        <f aca="false">E88/F88</f>
        <v>1.2</v>
      </c>
      <c r="H88" s="0" t="str">
        <f aca="false">IF(E88&gt;F88,"Exceedance",IF(E88&gt;=F88*0.9,"Watch","Compliant"))</f>
        <v>Exceedance</v>
      </c>
    </row>
    <row r="89" customFormat="false" ht="15" hidden="false" customHeight="false" outlineLevel="0" collapsed="false">
      <c r="A89" s="0" t="str">
        <f aca="false">'Raw Data'!C89</f>
        <v>2022-11</v>
      </c>
      <c r="B89" s="0" t="str">
        <f aca="false">'Raw Data'!D89</f>
        <v>Townhead</v>
      </c>
      <c r="C89" s="0" t="str">
        <f aca="false">'Raw Data'!E89</f>
        <v>City Centre</v>
      </c>
      <c r="D89" s="0" t="str">
        <f aca="false">'Raw Data'!F89</f>
        <v>PM10</v>
      </c>
      <c r="E89" s="6" t="n">
        <f aca="false">'Raw Data'!H89</f>
        <v>17.3</v>
      </c>
      <c r="F89" s="7" t="n">
        <f aca="false">IF(D89="NO2",40,18)</f>
        <v>18</v>
      </c>
      <c r="G89" s="8" t="n">
        <f aca="false">E89/F89</f>
        <v>0.961111111111111</v>
      </c>
      <c r="H89" s="0" t="str">
        <f aca="false">IF(E89&gt;F89,"Exceedance",IF(E89&gt;=F89*0.9,"Watch","Compliant"))</f>
        <v>Watch</v>
      </c>
    </row>
    <row r="90" customFormat="false" ht="15" hidden="false" customHeight="false" outlineLevel="0" collapsed="false">
      <c r="A90" s="0" t="str">
        <f aca="false">'Raw Data'!C90</f>
        <v>2022-12</v>
      </c>
      <c r="B90" s="0" t="str">
        <f aca="false">'Raw Data'!D90</f>
        <v>Hope Street (kerbside)</v>
      </c>
      <c r="C90" s="0" t="str">
        <f aca="false">'Raw Data'!E90</f>
        <v>City Centre</v>
      </c>
      <c r="D90" s="0" t="str">
        <f aca="false">'Raw Data'!F90</f>
        <v>NO2</v>
      </c>
      <c r="E90" s="6" t="n">
        <f aca="false">'Raw Data'!H90</f>
        <v>62.6</v>
      </c>
      <c r="F90" s="7" t="n">
        <f aca="false">IF(D90="NO2",40,18)</f>
        <v>40</v>
      </c>
      <c r="G90" s="8" t="n">
        <f aca="false">E90/F90</f>
        <v>1.565</v>
      </c>
      <c r="H90" s="0" t="str">
        <f aca="false">IF(E90&gt;F90,"Exceedance",IF(E90&gt;=F90*0.9,"Watch","Compliant"))</f>
        <v>Exceedance</v>
      </c>
    </row>
    <row r="91" customFormat="false" ht="15" hidden="false" customHeight="false" outlineLevel="0" collapsed="false">
      <c r="A91" s="0" t="str">
        <f aca="false">'Raw Data'!C91</f>
        <v>2022-12</v>
      </c>
      <c r="B91" s="0" t="str">
        <f aca="false">'Raw Data'!D91</f>
        <v>North Street</v>
      </c>
      <c r="C91" s="0" t="str">
        <f aca="false">'Raw Data'!E91</f>
        <v>City Centre</v>
      </c>
      <c r="D91" s="0" t="str">
        <f aca="false">'Raw Data'!F91</f>
        <v>NO2</v>
      </c>
      <c r="E91" s="6" t="n">
        <f aca="false">'Raw Data'!H91</f>
        <v>55.4</v>
      </c>
      <c r="F91" s="7" t="n">
        <f aca="false">IF(D91="NO2",40,18)</f>
        <v>40</v>
      </c>
      <c r="G91" s="8" t="n">
        <f aca="false">E91/F91</f>
        <v>1.385</v>
      </c>
      <c r="H91" s="0" t="str">
        <f aca="false">IF(E91&gt;F91,"Exceedance",IF(E91&gt;=F91*0.9,"Watch","Compliant"))</f>
        <v>Exceedance</v>
      </c>
    </row>
    <row r="92" customFormat="false" ht="15" hidden="false" customHeight="false" outlineLevel="0" collapsed="false">
      <c r="A92" s="0" t="str">
        <f aca="false">'Raw Data'!C92</f>
        <v>2022-12</v>
      </c>
      <c r="B92" s="0" t="str">
        <f aca="false">'Raw Data'!D92</f>
        <v>Royston Road</v>
      </c>
      <c r="C92" s="0" t="str">
        <f aca="false">'Raw Data'!E92</f>
        <v>City Centre</v>
      </c>
      <c r="D92" s="0" t="str">
        <f aca="false">'Raw Data'!F92</f>
        <v>NO2</v>
      </c>
      <c r="E92" s="6" t="n">
        <f aca="false">'Raw Data'!H92</f>
        <v>46.7</v>
      </c>
      <c r="F92" s="7" t="n">
        <f aca="false">IF(D92="NO2",40,18)</f>
        <v>40</v>
      </c>
      <c r="G92" s="8" t="n">
        <f aca="false">E92/F92</f>
        <v>1.1675</v>
      </c>
      <c r="H92" s="0" t="str">
        <f aca="false">IF(E92&gt;F92,"Exceedance",IF(E92&gt;=F92*0.9,"Watch","Compliant"))</f>
        <v>Exceedance</v>
      </c>
    </row>
    <row r="93" customFormat="false" ht="15" hidden="false" customHeight="false" outlineLevel="0" collapsed="false">
      <c r="A93" s="0" t="str">
        <f aca="false">'Raw Data'!C93</f>
        <v>2022-12</v>
      </c>
      <c r="B93" s="0" t="str">
        <f aca="false">'Raw Data'!D93</f>
        <v>Dumbarton Road</v>
      </c>
      <c r="C93" s="0" t="str">
        <f aca="false">'Raw Data'!E93</f>
        <v>Byres Road/Dumbarton Road</v>
      </c>
      <c r="D93" s="0" t="str">
        <f aca="false">'Raw Data'!F93</f>
        <v>NO2</v>
      </c>
      <c r="E93" s="6" t="n">
        <f aca="false">'Raw Data'!H93</f>
        <v>50.7</v>
      </c>
      <c r="F93" s="7" t="n">
        <f aca="false">IF(D93="NO2",40,18)</f>
        <v>40</v>
      </c>
      <c r="G93" s="8" t="n">
        <f aca="false">E93/F93</f>
        <v>1.2675</v>
      </c>
      <c r="H93" s="0" t="str">
        <f aca="false">IF(E93&gt;F93,"Exceedance",IF(E93&gt;=F93*0.9,"Watch","Compliant"))</f>
        <v>Exceedance</v>
      </c>
    </row>
    <row r="94" customFormat="false" ht="15" hidden="false" customHeight="false" outlineLevel="0" collapsed="false">
      <c r="A94" s="0" t="str">
        <f aca="false">'Raw Data'!C94</f>
        <v>2022-12</v>
      </c>
      <c r="B94" s="0" t="str">
        <f aca="false">'Raw Data'!D94</f>
        <v>Byres Road</v>
      </c>
      <c r="C94" s="0" t="str">
        <f aca="false">'Raw Data'!E94</f>
        <v>Byres Road/Dumbarton Road</v>
      </c>
      <c r="D94" s="0" t="str">
        <f aca="false">'Raw Data'!F94</f>
        <v>NO2</v>
      </c>
      <c r="E94" s="6" t="n">
        <f aca="false">'Raw Data'!H94</f>
        <v>44.6</v>
      </c>
      <c r="F94" s="7" t="n">
        <f aca="false">IF(D94="NO2",40,18)</f>
        <v>40</v>
      </c>
      <c r="G94" s="8" t="n">
        <f aca="false">E94/F94</f>
        <v>1.115</v>
      </c>
      <c r="H94" s="0" t="str">
        <f aca="false">IF(E94&gt;F94,"Exceedance",IF(E94&gt;=F94*0.9,"Watch","Compliant"))</f>
        <v>Exceedance</v>
      </c>
    </row>
    <row r="95" customFormat="false" ht="15" hidden="false" customHeight="false" outlineLevel="0" collapsed="false">
      <c r="A95" s="0" t="str">
        <f aca="false">'Raw Data'!C95</f>
        <v>2022-12</v>
      </c>
      <c r="B95" s="0" t="str">
        <f aca="false">'Raw Data'!D95</f>
        <v>Parkhead Cross</v>
      </c>
      <c r="C95" s="0" t="str">
        <f aca="false">'Raw Data'!E95</f>
        <v>Parkhead Cross</v>
      </c>
      <c r="D95" s="0" t="str">
        <f aca="false">'Raw Data'!F95</f>
        <v>NO2</v>
      </c>
      <c r="E95" s="6" t="n">
        <f aca="false">'Raw Data'!H95</f>
        <v>52.6</v>
      </c>
      <c r="F95" s="7" t="n">
        <f aca="false">IF(D95="NO2",40,18)</f>
        <v>40</v>
      </c>
      <c r="G95" s="8" t="n">
        <f aca="false">E95/F95</f>
        <v>1.315</v>
      </c>
      <c r="H95" s="0" t="str">
        <f aca="false">IF(E95&gt;F95,"Exceedance",IF(E95&gt;=F95*0.9,"Watch","Compliant"))</f>
        <v>Exceedance</v>
      </c>
    </row>
    <row r="96" customFormat="false" ht="15" hidden="false" customHeight="false" outlineLevel="0" collapsed="false">
      <c r="A96" s="0" t="str">
        <f aca="false">'Raw Data'!C96</f>
        <v>2022-12</v>
      </c>
      <c r="B96" s="0" t="str">
        <f aca="false">'Raw Data'!D96</f>
        <v>Hope Street (kerbside)</v>
      </c>
      <c r="C96" s="0" t="str">
        <f aca="false">'Raw Data'!E96</f>
        <v>City Centre</v>
      </c>
      <c r="D96" s="0" t="str">
        <f aca="false">'Raw Data'!F96</f>
        <v>PM10</v>
      </c>
      <c r="E96" s="6" t="n">
        <f aca="false">'Raw Data'!H96</f>
        <v>23.7</v>
      </c>
      <c r="F96" s="7" t="n">
        <f aca="false">IF(D96="NO2",40,18)</f>
        <v>18</v>
      </c>
      <c r="G96" s="8" t="n">
        <f aca="false">E96/F96</f>
        <v>1.31666666666667</v>
      </c>
      <c r="H96" s="0" t="str">
        <f aca="false">IF(E96&gt;F96,"Exceedance",IF(E96&gt;=F96*0.9,"Watch","Compliant"))</f>
        <v>Exceedance</v>
      </c>
    </row>
    <row r="97" customFormat="false" ht="15" hidden="false" customHeight="false" outlineLevel="0" collapsed="false">
      <c r="A97" s="0" t="str">
        <f aca="false">'Raw Data'!C97</f>
        <v>2022-12</v>
      </c>
      <c r="B97" s="0" t="str">
        <f aca="false">'Raw Data'!D97</f>
        <v>Townhead</v>
      </c>
      <c r="C97" s="0" t="str">
        <f aca="false">'Raw Data'!E97</f>
        <v>City Centre</v>
      </c>
      <c r="D97" s="0" t="str">
        <f aca="false">'Raw Data'!F97</f>
        <v>PM10</v>
      </c>
      <c r="E97" s="6" t="n">
        <f aca="false">'Raw Data'!H97</f>
        <v>18.8</v>
      </c>
      <c r="F97" s="7" t="n">
        <f aca="false">IF(D97="NO2",40,18)</f>
        <v>18</v>
      </c>
      <c r="G97" s="8" t="n">
        <f aca="false">E97/F97</f>
        <v>1.04444444444444</v>
      </c>
      <c r="H97" s="0" t="str">
        <f aca="false">IF(E97&gt;F97,"Exceedance",IF(E97&gt;=F97*0.9,"Watch","Compliant"))</f>
        <v>Exceedance</v>
      </c>
    </row>
    <row r="98" customFormat="false" ht="15" hidden="false" customHeight="false" outlineLevel="0" collapsed="false">
      <c r="A98" s="0" t="str">
        <f aca="false">'Raw Data'!C98</f>
        <v>2023-01</v>
      </c>
      <c r="B98" s="0" t="str">
        <f aca="false">'Raw Data'!D98</f>
        <v>Hope Street (kerbside)</v>
      </c>
      <c r="C98" s="0" t="str">
        <f aca="false">'Raw Data'!E98</f>
        <v>City Centre</v>
      </c>
      <c r="D98" s="0" t="str">
        <f aca="false">'Raw Data'!F98</f>
        <v>NO2</v>
      </c>
      <c r="E98" s="6" t="n">
        <f aca="false">'Raw Data'!H98</f>
        <v>59.2</v>
      </c>
      <c r="F98" s="7" t="n">
        <f aca="false">IF(D98="NO2",40,18)</f>
        <v>40</v>
      </c>
      <c r="G98" s="8" t="n">
        <f aca="false">E98/F98</f>
        <v>1.48</v>
      </c>
      <c r="H98" s="0" t="str">
        <f aca="false">IF(E98&gt;F98,"Exceedance",IF(E98&gt;=F98*0.9,"Watch","Compliant"))</f>
        <v>Exceedance</v>
      </c>
    </row>
    <row r="99" customFormat="false" ht="15" hidden="false" customHeight="false" outlineLevel="0" collapsed="false">
      <c r="A99" s="0" t="str">
        <f aca="false">'Raw Data'!C99</f>
        <v>2023-01</v>
      </c>
      <c r="B99" s="0" t="str">
        <f aca="false">'Raw Data'!D99</f>
        <v>North Street</v>
      </c>
      <c r="C99" s="0" t="str">
        <f aca="false">'Raw Data'!E99</f>
        <v>City Centre</v>
      </c>
      <c r="D99" s="0" t="str">
        <f aca="false">'Raw Data'!F99</f>
        <v>NO2</v>
      </c>
      <c r="E99" s="6" t="n">
        <f aca="false">'Raw Data'!H99</f>
        <v>48.4</v>
      </c>
      <c r="F99" s="7" t="n">
        <f aca="false">IF(D99="NO2",40,18)</f>
        <v>40</v>
      </c>
      <c r="G99" s="8" t="n">
        <f aca="false">E99/F99</f>
        <v>1.21</v>
      </c>
      <c r="H99" s="0" t="str">
        <f aca="false">IF(E99&gt;F99,"Exceedance",IF(E99&gt;=F99*0.9,"Watch","Compliant"))</f>
        <v>Exceedance</v>
      </c>
    </row>
    <row r="100" customFormat="false" ht="15" hidden="false" customHeight="false" outlineLevel="0" collapsed="false">
      <c r="A100" s="0" t="str">
        <f aca="false">'Raw Data'!C100</f>
        <v>2023-01</v>
      </c>
      <c r="B100" s="0" t="str">
        <f aca="false">'Raw Data'!D100</f>
        <v>Royston Road</v>
      </c>
      <c r="C100" s="0" t="str">
        <f aca="false">'Raw Data'!E100</f>
        <v>City Centre</v>
      </c>
      <c r="D100" s="0" t="str">
        <f aca="false">'Raw Data'!F100</f>
        <v>NO2</v>
      </c>
      <c r="E100" s="6" t="n">
        <f aca="false">'Raw Data'!H100</f>
        <v>44.9</v>
      </c>
      <c r="F100" s="7" t="n">
        <f aca="false">IF(D100="NO2",40,18)</f>
        <v>40</v>
      </c>
      <c r="G100" s="8" t="n">
        <f aca="false">E100/F100</f>
        <v>1.1225</v>
      </c>
      <c r="H100" s="0" t="str">
        <f aca="false">IF(E100&gt;F100,"Exceedance",IF(E100&gt;=F100*0.9,"Watch","Compliant"))</f>
        <v>Exceedance</v>
      </c>
    </row>
    <row r="101" customFormat="false" ht="15" hidden="false" customHeight="false" outlineLevel="0" collapsed="false">
      <c r="A101" s="0" t="str">
        <f aca="false">'Raw Data'!C101</f>
        <v>2023-01</v>
      </c>
      <c r="B101" s="0" t="str">
        <f aca="false">'Raw Data'!D101</f>
        <v>Dumbarton Road</v>
      </c>
      <c r="C101" s="0" t="str">
        <f aca="false">'Raw Data'!E101</f>
        <v>Byres Road/Dumbarton Road</v>
      </c>
      <c r="D101" s="0" t="str">
        <f aca="false">'Raw Data'!F101</f>
        <v>NO2</v>
      </c>
      <c r="E101" s="6" t="n">
        <f aca="false">'Raw Data'!H101</f>
        <v>45.2</v>
      </c>
      <c r="F101" s="7" t="n">
        <f aca="false">IF(D101="NO2",40,18)</f>
        <v>40</v>
      </c>
      <c r="G101" s="8" t="n">
        <f aca="false">E101/F101</f>
        <v>1.13</v>
      </c>
      <c r="H101" s="0" t="str">
        <f aca="false">IF(E101&gt;F101,"Exceedance",IF(E101&gt;=F101*0.9,"Watch","Compliant"))</f>
        <v>Exceedance</v>
      </c>
    </row>
    <row r="102" customFormat="false" ht="15" hidden="false" customHeight="false" outlineLevel="0" collapsed="false">
      <c r="A102" s="0" t="str">
        <f aca="false">'Raw Data'!C102</f>
        <v>2023-01</v>
      </c>
      <c r="B102" s="0" t="str">
        <f aca="false">'Raw Data'!D102</f>
        <v>Byres Road</v>
      </c>
      <c r="C102" s="0" t="str">
        <f aca="false">'Raw Data'!E102</f>
        <v>Byres Road/Dumbarton Road</v>
      </c>
      <c r="D102" s="0" t="str">
        <f aca="false">'Raw Data'!F102</f>
        <v>NO2</v>
      </c>
      <c r="E102" s="6" t="n">
        <f aca="false">'Raw Data'!H102</f>
        <v>43.9</v>
      </c>
      <c r="F102" s="7" t="n">
        <f aca="false">IF(D102="NO2",40,18)</f>
        <v>40</v>
      </c>
      <c r="G102" s="8" t="n">
        <f aca="false">E102/F102</f>
        <v>1.0975</v>
      </c>
      <c r="H102" s="0" t="str">
        <f aca="false">IF(E102&gt;F102,"Exceedance",IF(E102&gt;=F102*0.9,"Watch","Compliant"))</f>
        <v>Exceedance</v>
      </c>
    </row>
    <row r="103" customFormat="false" ht="15" hidden="false" customHeight="false" outlineLevel="0" collapsed="false">
      <c r="A103" s="0" t="str">
        <f aca="false">'Raw Data'!C103</f>
        <v>2023-01</v>
      </c>
      <c r="B103" s="0" t="str">
        <f aca="false">'Raw Data'!D103</f>
        <v>Parkhead Cross</v>
      </c>
      <c r="C103" s="0" t="str">
        <f aca="false">'Raw Data'!E103</f>
        <v>Parkhead Cross</v>
      </c>
      <c r="D103" s="0" t="str">
        <f aca="false">'Raw Data'!F103</f>
        <v>NO2</v>
      </c>
      <c r="E103" s="6" t="n">
        <f aca="false">'Raw Data'!H103</f>
        <v>47.3</v>
      </c>
      <c r="F103" s="7" t="n">
        <f aca="false">IF(D103="NO2",40,18)</f>
        <v>40</v>
      </c>
      <c r="G103" s="8" t="n">
        <f aca="false">E103/F103</f>
        <v>1.1825</v>
      </c>
      <c r="H103" s="0" t="str">
        <f aca="false">IF(E103&gt;F103,"Exceedance",IF(E103&gt;=F103*0.9,"Watch","Compliant"))</f>
        <v>Exceedance</v>
      </c>
    </row>
    <row r="104" customFormat="false" ht="15" hidden="false" customHeight="false" outlineLevel="0" collapsed="false">
      <c r="A104" s="0" t="str">
        <f aca="false">'Raw Data'!C104</f>
        <v>2023-01</v>
      </c>
      <c r="B104" s="0" t="str">
        <f aca="false">'Raw Data'!D104</f>
        <v>Hope Street (kerbside)</v>
      </c>
      <c r="C104" s="0" t="str">
        <f aca="false">'Raw Data'!E104</f>
        <v>City Centre</v>
      </c>
      <c r="D104" s="0" t="str">
        <f aca="false">'Raw Data'!F104</f>
        <v>PM10</v>
      </c>
      <c r="E104" s="6" t="n">
        <f aca="false">'Raw Data'!H104</f>
        <v>20.7</v>
      </c>
      <c r="F104" s="7" t="n">
        <f aca="false">IF(D104="NO2",40,18)</f>
        <v>18</v>
      </c>
      <c r="G104" s="8" t="n">
        <f aca="false">E104/F104</f>
        <v>1.15</v>
      </c>
      <c r="H104" s="0" t="str">
        <f aca="false">IF(E104&gt;F104,"Exceedance",IF(E104&gt;=F104*0.9,"Watch","Compliant"))</f>
        <v>Exceedance</v>
      </c>
    </row>
    <row r="105" customFormat="false" ht="15" hidden="false" customHeight="false" outlineLevel="0" collapsed="false">
      <c r="A105" s="0" t="str">
        <f aca="false">'Raw Data'!C105</f>
        <v>2023-01</v>
      </c>
      <c r="B105" s="0" t="str">
        <f aca="false">'Raw Data'!D105</f>
        <v>Townhead</v>
      </c>
      <c r="C105" s="0" t="str">
        <f aca="false">'Raw Data'!E105</f>
        <v>City Centre</v>
      </c>
      <c r="D105" s="0" t="str">
        <f aca="false">'Raw Data'!F105</f>
        <v>PM10</v>
      </c>
      <c r="E105" s="6" t="n">
        <f aca="false">'Raw Data'!H105</f>
        <v>18.2</v>
      </c>
      <c r="F105" s="7" t="n">
        <f aca="false">IF(D105="NO2",40,18)</f>
        <v>18</v>
      </c>
      <c r="G105" s="8" t="n">
        <f aca="false">E105/F105</f>
        <v>1.01111111111111</v>
      </c>
      <c r="H105" s="0" t="str">
        <f aca="false">IF(E105&gt;F105,"Exceedance",IF(E105&gt;=F105*0.9,"Watch","Compliant"))</f>
        <v>Exceedance</v>
      </c>
    </row>
    <row r="106" customFormat="false" ht="15" hidden="false" customHeight="false" outlineLevel="0" collapsed="false">
      <c r="A106" s="0" t="str">
        <f aca="false">'Raw Data'!C106</f>
        <v>2023-02</v>
      </c>
      <c r="B106" s="0" t="str">
        <f aca="false">'Raw Data'!D106</f>
        <v>Hope Street (kerbside)</v>
      </c>
      <c r="C106" s="0" t="str">
        <f aca="false">'Raw Data'!E106</f>
        <v>City Centre</v>
      </c>
      <c r="D106" s="0" t="str">
        <f aca="false">'Raw Data'!F106</f>
        <v>NO2</v>
      </c>
      <c r="E106" s="6" t="n">
        <f aca="false">'Raw Data'!H106</f>
        <v>57.2</v>
      </c>
      <c r="F106" s="7" t="n">
        <f aca="false">IF(D106="NO2",40,18)</f>
        <v>40</v>
      </c>
      <c r="G106" s="8" t="n">
        <f aca="false">E106/F106</f>
        <v>1.43</v>
      </c>
      <c r="H106" s="0" t="str">
        <f aca="false">IF(E106&gt;F106,"Exceedance",IF(E106&gt;=F106*0.9,"Watch","Compliant"))</f>
        <v>Exceedance</v>
      </c>
    </row>
    <row r="107" customFormat="false" ht="15" hidden="false" customHeight="false" outlineLevel="0" collapsed="false">
      <c r="A107" s="0" t="str">
        <f aca="false">'Raw Data'!C107</f>
        <v>2023-02</v>
      </c>
      <c r="B107" s="0" t="str">
        <f aca="false">'Raw Data'!D107</f>
        <v>North Street</v>
      </c>
      <c r="C107" s="0" t="str">
        <f aca="false">'Raw Data'!E107</f>
        <v>City Centre</v>
      </c>
      <c r="D107" s="0" t="str">
        <f aca="false">'Raw Data'!F107</f>
        <v>NO2</v>
      </c>
      <c r="E107" s="6" t="n">
        <f aca="false">'Raw Data'!H107</f>
        <v>47.4</v>
      </c>
      <c r="F107" s="7" t="n">
        <f aca="false">IF(D107="NO2",40,18)</f>
        <v>40</v>
      </c>
      <c r="G107" s="8" t="n">
        <f aca="false">E107/F107</f>
        <v>1.185</v>
      </c>
      <c r="H107" s="0" t="str">
        <f aca="false">IF(E107&gt;F107,"Exceedance",IF(E107&gt;=F107*0.9,"Watch","Compliant"))</f>
        <v>Exceedance</v>
      </c>
    </row>
    <row r="108" customFormat="false" ht="15" hidden="false" customHeight="false" outlineLevel="0" collapsed="false">
      <c r="A108" s="0" t="str">
        <f aca="false">'Raw Data'!C108</f>
        <v>2023-02</v>
      </c>
      <c r="B108" s="0" t="str">
        <f aca="false">'Raw Data'!D108</f>
        <v>Royston Road</v>
      </c>
      <c r="C108" s="0" t="str">
        <f aca="false">'Raw Data'!E108</f>
        <v>City Centre</v>
      </c>
      <c r="D108" s="0" t="str">
        <f aca="false">'Raw Data'!F108</f>
        <v>NO2</v>
      </c>
      <c r="E108" s="6" t="n">
        <f aca="false">'Raw Data'!H108</f>
        <v>43.6</v>
      </c>
      <c r="F108" s="7" t="n">
        <f aca="false">IF(D108="NO2",40,18)</f>
        <v>40</v>
      </c>
      <c r="G108" s="8" t="n">
        <f aca="false">E108/F108</f>
        <v>1.09</v>
      </c>
      <c r="H108" s="0" t="str">
        <f aca="false">IF(E108&gt;F108,"Exceedance",IF(E108&gt;=F108*0.9,"Watch","Compliant"))</f>
        <v>Exceedance</v>
      </c>
    </row>
    <row r="109" customFormat="false" ht="15" hidden="false" customHeight="false" outlineLevel="0" collapsed="false">
      <c r="A109" s="0" t="str">
        <f aca="false">'Raw Data'!C109</f>
        <v>2023-02</v>
      </c>
      <c r="B109" s="0" t="str">
        <f aca="false">'Raw Data'!D109</f>
        <v>Dumbarton Road</v>
      </c>
      <c r="C109" s="0" t="str">
        <f aca="false">'Raw Data'!E109</f>
        <v>Byres Road/Dumbarton Road</v>
      </c>
      <c r="D109" s="0" t="str">
        <f aca="false">'Raw Data'!F109</f>
        <v>NO2</v>
      </c>
      <c r="E109" s="6" t="n">
        <f aca="false">'Raw Data'!H109</f>
        <v>46.6</v>
      </c>
      <c r="F109" s="7" t="n">
        <f aca="false">IF(D109="NO2",40,18)</f>
        <v>40</v>
      </c>
      <c r="G109" s="8" t="n">
        <f aca="false">E109/F109</f>
        <v>1.165</v>
      </c>
      <c r="H109" s="0" t="str">
        <f aca="false">IF(E109&gt;F109,"Exceedance",IF(E109&gt;=F109*0.9,"Watch","Compliant"))</f>
        <v>Exceedance</v>
      </c>
    </row>
    <row r="110" customFormat="false" ht="15" hidden="false" customHeight="false" outlineLevel="0" collapsed="false">
      <c r="A110" s="0" t="str">
        <f aca="false">'Raw Data'!C110</f>
        <v>2023-02</v>
      </c>
      <c r="B110" s="0" t="str">
        <f aca="false">'Raw Data'!D110</f>
        <v>Byres Road</v>
      </c>
      <c r="C110" s="0" t="str">
        <f aca="false">'Raw Data'!E110</f>
        <v>Byres Road/Dumbarton Road</v>
      </c>
      <c r="D110" s="0" t="str">
        <f aca="false">'Raw Data'!F110</f>
        <v>NO2</v>
      </c>
      <c r="E110" s="6" t="n">
        <f aca="false">'Raw Data'!H110</f>
        <v>40.1</v>
      </c>
      <c r="F110" s="7" t="n">
        <f aca="false">IF(D110="NO2",40,18)</f>
        <v>40</v>
      </c>
      <c r="G110" s="8" t="n">
        <f aca="false">E110/F110</f>
        <v>1.0025</v>
      </c>
      <c r="H110" s="0" t="str">
        <f aca="false">IF(E110&gt;F110,"Exceedance",IF(E110&gt;=F110*0.9,"Watch","Compliant"))</f>
        <v>Exceedance</v>
      </c>
    </row>
    <row r="111" customFormat="false" ht="15" hidden="false" customHeight="false" outlineLevel="0" collapsed="false">
      <c r="A111" s="0" t="str">
        <f aca="false">'Raw Data'!C111</f>
        <v>2023-02</v>
      </c>
      <c r="B111" s="0" t="str">
        <f aca="false">'Raw Data'!D111</f>
        <v>Parkhead Cross</v>
      </c>
      <c r="C111" s="0" t="str">
        <f aca="false">'Raw Data'!E111</f>
        <v>Parkhead Cross</v>
      </c>
      <c r="D111" s="0" t="str">
        <f aca="false">'Raw Data'!F111</f>
        <v>NO2</v>
      </c>
      <c r="E111" s="6" t="n">
        <f aca="false">'Raw Data'!H111</f>
        <v>43.7</v>
      </c>
      <c r="F111" s="7" t="n">
        <f aca="false">IF(D111="NO2",40,18)</f>
        <v>40</v>
      </c>
      <c r="G111" s="8" t="n">
        <f aca="false">E111/F111</f>
        <v>1.0925</v>
      </c>
      <c r="H111" s="0" t="str">
        <f aca="false">IF(E111&gt;F111,"Exceedance",IF(E111&gt;=F111*0.9,"Watch","Compliant"))</f>
        <v>Exceedance</v>
      </c>
    </row>
    <row r="112" customFormat="false" ht="15" hidden="false" customHeight="false" outlineLevel="0" collapsed="false">
      <c r="A112" s="0" t="str">
        <f aca="false">'Raw Data'!C112</f>
        <v>2023-02</v>
      </c>
      <c r="B112" s="0" t="str">
        <f aca="false">'Raw Data'!D112</f>
        <v>Hope Street (kerbside)</v>
      </c>
      <c r="C112" s="0" t="str">
        <f aca="false">'Raw Data'!E112</f>
        <v>City Centre</v>
      </c>
      <c r="D112" s="0" t="str">
        <f aca="false">'Raw Data'!F112</f>
        <v>PM10</v>
      </c>
      <c r="E112" s="6" t="n">
        <f aca="false">'Raw Data'!H112</f>
        <v>21.8</v>
      </c>
      <c r="F112" s="7" t="n">
        <f aca="false">IF(D112="NO2",40,18)</f>
        <v>18</v>
      </c>
      <c r="G112" s="8" t="n">
        <f aca="false">E112/F112</f>
        <v>1.21111111111111</v>
      </c>
      <c r="H112" s="0" t="str">
        <f aca="false">IF(E112&gt;F112,"Exceedance",IF(E112&gt;=F112*0.9,"Watch","Compliant"))</f>
        <v>Exceedance</v>
      </c>
    </row>
    <row r="113" customFormat="false" ht="15" hidden="false" customHeight="false" outlineLevel="0" collapsed="false">
      <c r="A113" s="0" t="str">
        <f aca="false">'Raw Data'!C113</f>
        <v>2023-02</v>
      </c>
      <c r="B113" s="0" t="str">
        <f aca="false">'Raw Data'!D113</f>
        <v>Townhead</v>
      </c>
      <c r="C113" s="0" t="str">
        <f aca="false">'Raw Data'!E113</f>
        <v>City Centre</v>
      </c>
      <c r="D113" s="0" t="str">
        <f aca="false">'Raw Data'!F113</f>
        <v>PM10</v>
      </c>
      <c r="E113" s="6" t="n">
        <f aca="false">'Raw Data'!H113</f>
        <v>17.4</v>
      </c>
      <c r="F113" s="7" t="n">
        <f aca="false">IF(D113="NO2",40,18)</f>
        <v>18</v>
      </c>
      <c r="G113" s="8" t="n">
        <f aca="false">E113/F113</f>
        <v>0.966666666666667</v>
      </c>
      <c r="H113" s="0" t="str">
        <f aca="false">IF(E113&gt;F113,"Exceedance",IF(E113&gt;=F113*0.9,"Watch","Compliant"))</f>
        <v>Watch</v>
      </c>
    </row>
    <row r="114" customFormat="false" ht="15" hidden="false" customHeight="false" outlineLevel="0" collapsed="false">
      <c r="A114" s="0" t="str">
        <f aca="false">'Raw Data'!C114</f>
        <v>2023-03</v>
      </c>
      <c r="B114" s="0" t="str">
        <f aca="false">'Raw Data'!D114</f>
        <v>Hope Street (kerbside)</v>
      </c>
      <c r="C114" s="0" t="str">
        <f aca="false">'Raw Data'!E114</f>
        <v>City Centre</v>
      </c>
      <c r="D114" s="0" t="str">
        <f aca="false">'Raw Data'!F114</f>
        <v>NO2</v>
      </c>
      <c r="E114" s="6" t="n">
        <f aca="false">'Raw Data'!H114</f>
        <v>48.9</v>
      </c>
      <c r="F114" s="7" t="n">
        <f aca="false">IF(D114="NO2",40,18)</f>
        <v>40</v>
      </c>
      <c r="G114" s="8" t="n">
        <f aca="false">E114/F114</f>
        <v>1.2225</v>
      </c>
      <c r="H114" s="0" t="str">
        <f aca="false">IF(E114&gt;F114,"Exceedance",IF(E114&gt;=F114*0.9,"Watch","Compliant"))</f>
        <v>Exceedance</v>
      </c>
    </row>
    <row r="115" customFormat="false" ht="15" hidden="false" customHeight="false" outlineLevel="0" collapsed="false">
      <c r="A115" s="0" t="str">
        <f aca="false">'Raw Data'!C115</f>
        <v>2023-03</v>
      </c>
      <c r="B115" s="0" t="str">
        <f aca="false">'Raw Data'!D115</f>
        <v>North Street</v>
      </c>
      <c r="C115" s="0" t="str">
        <f aca="false">'Raw Data'!E115</f>
        <v>City Centre</v>
      </c>
      <c r="D115" s="0" t="str">
        <f aca="false">'Raw Data'!F115</f>
        <v>NO2</v>
      </c>
      <c r="E115" s="6" t="n">
        <f aca="false">'Raw Data'!H115</f>
        <v>44.2</v>
      </c>
      <c r="F115" s="7" t="n">
        <f aca="false">IF(D115="NO2",40,18)</f>
        <v>40</v>
      </c>
      <c r="G115" s="8" t="n">
        <f aca="false">E115/F115</f>
        <v>1.105</v>
      </c>
      <c r="H115" s="0" t="str">
        <f aca="false">IF(E115&gt;F115,"Exceedance",IF(E115&gt;=F115*0.9,"Watch","Compliant"))</f>
        <v>Exceedance</v>
      </c>
    </row>
    <row r="116" customFormat="false" ht="15" hidden="false" customHeight="false" outlineLevel="0" collapsed="false">
      <c r="A116" s="0" t="str">
        <f aca="false">'Raw Data'!C116</f>
        <v>2023-03</v>
      </c>
      <c r="B116" s="0" t="str">
        <f aca="false">'Raw Data'!D116</f>
        <v>Royston Road</v>
      </c>
      <c r="C116" s="0" t="str">
        <f aca="false">'Raw Data'!E116</f>
        <v>City Centre</v>
      </c>
      <c r="D116" s="0" t="str">
        <f aca="false">'Raw Data'!F116</f>
        <v>NO2</v>
      </c>
      <c r="E116" s="6" t="n">
        <f aca="false">'Raw Data'!H116</f>
        <v>40.4</v>
      </c>
      <c r="F116" s="7" t="n">
        <f aca="false">IF(D116="NO2",40,18)</f>
        <v>40</v>
      </c>
      <c r="G116" s="8" t="n">
        <f aca="false">E116/F116</f>
        <v>1.01</v>
      </c>
      <c r="H116" s="0" t="str">
        <f aca="false">IF(E116&gt;F116,"Exceedance",IF(E116&gt;=F116*0.9,"Watch","Compliant"))</f>
        <v>Exceedance</v>
      </c>
    </row>
    <row r="117" customFormat="false" ht="15" hidden="false" customHeight="false" outlineLevel="0" collapsed="false">
      <c r="A117" s="0" t="str">
        <f aca="false">'Raw Data'!C117</f>
        <v>2023-03</v>
      </c>
      <c r="B117" s="0" t="str">
        <f aca="false">'Raw Data'!D117</f>
        <v>Dumbarton Road</v>
      </c>
      <c r="C117" s="0" t="str">
        <f aca="false">'Raw Data'!E117</f>
        <v>Byres Road/Dumbarton Road</v>
      </c>
      <c r="D117" s="0" t="str">
        <f aca="false">'Raw Data'!F117</f>
        <v>NO2</v>
      </c>
      <c r="E117" s="6" t="n">
        <f aca="false">'Raw Data'!H117</f>
        <v>40.9</v>
      </c>
      <c r="F117" s="7" t="n">
        <f aca="false">IF(D117="NO2",40,18)</f>
        <v>40</v>
      </c>
      <c r="G117" s="8" t="n">
        <f aca="false">E117/F117</f>
        <v>1.0225</v>
      </c>
      <c r="H117" s="0" t="str">
        <f aca="false">IF(E117&gt;F117,"Exceedance",IF(E117&gt;=F117*0.9,"Watch","Compliant"))</f>
        <v>Exceedance</v>
      </c>
    </row>
    <row r="118" customFormat="false" ht="15" hidden="false" customHeight="false" outlineLevel="0" collapsed="false">
      <c r="A118" s="0" t="str">
        <f aca="false">'Raw Data'!C118</f>
        <v>2023-03</v>
      </c>
      <c r="B118" s="0" t="str">
        <f aca="false">'Raw Data'!D118</f>
        <v>Byres Road</v>
      </c>
      <c r="C118" s="0" t="str">
        <f aca="false">'Raw Data'!E118</f>
        <v>Byres Road/Dumbarton Road</v>
      </c>
      <c r="D118" s="0" t="str">
        <f aca="false">'Raw Data'!F118</f>
        <v>NO2</v>
      </c>
      <c r="E118" s="6" t="n">
        <f aca="false">'Raw Data'!H118</f>
        <v>37</v>
      </c>
      <c r="F118" s="7" t="n">
        <f aca="false">IF(D118="NO2",40,18)</f>
        <v>40</v>
      </c>
      <c r="G118" s="8" t="n">
        <f aca="false">E118/F118</f>
        <v>0.925</v>
      </c>
      <c r="H118" s="0" t="str">
        <f aca="false">IF(E118&gt;F118,"Exceedance",IF(E118&gt;=F118*0.9,"Watch","Compliant"))</f>
        <v>Watch</v>
      </c>
    </row>
    <row r="119" customFormat="false" ht="15" hidden="false" customHeight="false" outlineLevel="0" collapsed="false">
      <c r="A119" s="0" t="str">
        <f aca="false">'Raw Data'!C119</f>
        <v>2023-03</v>
      </c>
      <c r="B119" s="0" t="str">
        <f aca="false">'Raw Data'!D119</f>
        <v>Parkhead Cross</v>
      </c>
      <c r="C119" s="0" t="str">
        <f aca="false">'Raw Data'!E119</f>
        <v>Parkhead Cross</v>
      </c>
      <c r="D119" s="0" t="str">
        <f aca="false">'Raw Data'!F119</f>
        <v>NO2</v>
      </c>
      <c r="E119" s="6" t="n">
        <f aca="false">'Raw Data'!H119</f>
        <v>39.3</v>
      </c>
      <c r="F119" s="7" t="n">
        <f aca="false">IF(D119="NO2",40,18)</f>
        <v>40</v>
      </c>
      <c r="G119" s="8" t="n">
        <f aca="false">E119/F119</f>
        <v>0.9825</v>
      </c>
      <c r="H119" s="0" t="str">
        <f aca="false">IF(E119&gt;F119,"Exceedance",IF(E119&gt;=F119*0.9,"Watch","Compliant"))</f>
        <v>Watch</v>
      </c>
    </row>
    <row r="120" customFormat="false" ht="15" hidden="false" customHeight="false" outlineLevel="0" collapsed="false">
      <c r="A120" s="0" t="str">
        <f aca="false">'Raw Data'!C120</f>
        <v>2023-03</v>
      </c>
      <c r="B120" s="0" t="str">
        <f aca="false">'Raw Data'!D120</f>
        <v>Hope Street (kerbside)</v>
      </c>
      <c r="C120" s="0" t="str">
        <f aca="false">'Raw Data'!E120</f>
        <v>City Centre</v>
      </c>
      <c r="D120" s="0" t="str">
        <f aca="false">'Raw Data'!F120</f>
        <v>PM10</v>
      </c>
      <c r="E120" s="6" t="n">
        <f aca="false">'Raw Data'!H120</f>
        <v>19.4</v>
      </c>
      <c r="F120" s="7" t="n">
        <f aca="false">IF(D120="NO2",40,18)</f>
        <v>18</v>
      </c>
      <c r="G120" s="8" t="n">
        <f aca="false">E120/F120</f>
        <v>1.07777777777778</v>
      </c>
      <c r="H120" s="0" t="str">
        <f aca="false">IF(E120&gt;F120,"Exceedance",IF(E120&gt;=F120*0.9,"Watch","Compliant"))</f>
        <v>Exceedance</v>
      </c>
    </row>
    <row r="121" customFormat="false" ht="15" hidden="false" customHeight="false" outlineLevel="0" collapsed="false">
      <c r="A121" s="0" t="str">
        <f aca="false">'Raw Data'!C121</f>
        <v>2023-03</v>
      </c>
      <c r="B121" s="0" t="str">
        <f aca="false">'Raw Data'!D121</f>
        <v>Townhead</v>
      </c>
      <c r="C121" s="0" t="str">
        <f aca="false">'Raw Data'!E121</f>
        <v>City Centre</v>
      </c>
      <c r="D121" s="0" t="str">
        <f aca="false">'Raw Data'!F121</f>
        <v>PM10</v>
      </c>
      <c r="E121" s="6" t="n">
        <f aca="false">'Raw Data'!H121</f>
        <v>16.8</v>
      </c>
      <c r="F121" s="7" t="n">
        <f aca="false">IF(D121="NO2",40,18)</f>
        <v>18</v>
      </c>
      <c r="G121" s="8" t="n">
        <f aca="false">E121/F121</f>
        <v>0.933333333333333</v>
      </c>
      <c r="H121" s="0" t="str">
        <f aca="false">IF(E121&gt;F121,"Exceedance",IF(E121&gt;=F121*0.9,"Watch","Compliant"))</f>
        <v>Watch</v>
      </c>
    </row>
    <row r="122" customFormat="false" ht="15" hidden="false" customHeight="false" outlineLevel="0" collapsed="false">
      <c r="A122" s="0" t="str">
        <f aca="false">'Raw Data'!C122</f>
        <v>2023-04</v>
      </c>
      <c r="B122" s="0" t="str">
        <f aca="false">'Raw Data'!D122</f>
        <v>Hope Street (kerbside)</v>
      </c>
      <c r="C122" s="0" t="str">
        <f aca="false">'Raw Data'!E122</f>
        <v>City Centre</v>
      </c>
      <c r="D122" s="0" t="str">
        <f aca="false">'Raw Data'!F122</f>
        <v>NO2</v>
      </c>
      <c r="E122" s="6" t="n">
        <f aca="false">'Raw Data'!H122</f>
        <v>44.9</v>
      </c>
      <c r="F122" s="7" t="n">
        <f aca="false">IF(D122="NO2",40,18)</f>
        <v>40</v>
      </c>
      <c r="G122" s="8" t="n">
        <f aca="false">E122/F122</f>
        <v>1.1225</v>
      </c>
      <c r="H122" s="0" t="str">
        <f aca="false">IF(E122&gt;F122,"Exceedance",IF(E122&gt;=F122*0.9,"Watch","Compliant"))</f>
        <v>Exceedance</v>
      </c>
    </row>
    <row r="123" customFormat="false" ht="15" hidden="false" customHeight="false" outlineLevel="0" collapsed="false">
      <c r="A123" s="0" t="str">
        <f aca="false">'Raw Data'!C123</f>
        <v>2023-04</v>
      </c>
      <c r="B123" s="0" t="str">
        <f aca="false">'Raw Data'!D123</f>
        <v>North Street</v>
      </c>
      <c r="C123" s="0" t="str">
        <f aca="false">'Raw Data'!E123</f>
        <v>City Centre</v>
      </c>
      <c r="D123" s="0" t="str">
        <f aca="false">'Raw Data'!F123</f>
        <v>NO2</v>
      </c>
      <c r="E123" s="6" t="n">
        <f aca="false">'Raw Data'!H123</f>
        <v>42.2</v>
      </c>
      <c r="F123" s="7" t="n">
        <f aca="false">IF(D123="NO2",40,18)</f>
        <v>40</v>
      </c>
      <c r="G123" s="8" t="n">
        <f aca="false">E123/F123</f>
        <v>1.055</v>
      </c>
      <c r="H123" s="0" t="str">
        <f aca="false">IF(E123&gt;F123,"Exceedance",IF(E123&gt;=F123*0.9,"Watch","Compliant"))</f>
        <v>Exceedance</v>
      </c>
    </row>
    <row r="124" customFormat="false" ht="15" hidden="false" customHeight="false" outlineLevel="0" collapsed="false">
      <c r="A124" s="0" t="str">
        <f aca="false">'Raw Data'!C124</f>
        <v>2023-04</v>
      </c>
      <c r="B124" s="0" t="str">
        <f aca="false">'Raw Data'!D124</f>
        <v>Royston Road</v>
      </c>
      <c r="C124" s="0" t="str">
        <f aca="false">'Raw Data'!E124</f>
        <v>City Centre</v>
      </c>
      <c r="D124" s="0" t="str">
        <f aca="false">'Raw Data'!F124</f>
        <v>NO2</v>
      </c>
      <c r="E124" s="6" t="n">
        <f aca="false">'Raw Data'!H124</f>
        <v>35.9</v>
      </c>
      <c r="F124" s="7" t="n">
        <f aca="false">IF(D124="NO2",40,18)</f>
        <v>40</v>
      </c>
      <c r="G124" s="8" t="n">
        <f aca="false">E124/F124</f>
        <v>0.8975</v>
      </c>
      <c r="H124" s="0" t="str">
        <f aca="false">IF(E124&gt;F124,"Exceedance",IF(E124&gt;=F124*0.9,"Watch","Compliant"))</f>
        <v>Compliant</v>
      </c>
    </row>
    <row r="125" customFormat="false" ht="15" hidden="false" customHeight="false" outlineLevel="0" collapsed="false">
      <c r="A125" s="0" t="str">
        <f aca="false">'Raw Data'!C125</f>
        <v>2023-04</v>
      </c>
      <c r="B125" s="0" t="str">
        <f aca="false">'Raw Data'!D125</f>
        <v>Dumbarton Road</v>
      </c>
      <c r="C125" s="0" t="str">
        <f aca="false">'Raw Data'!E125</f>
        <v>Byres Road/Dumbarton Road</v>
      </c>
      <c r="D125" s="0" t="str">
        <f aca="false">'Raw Data'!F125</f>
        <v>NO2</v>
      </c>
      <c r="E125" s="6" t="n">
        <f aca="false">'Raw Data'!H125</f>
        <v>37.4</v>
      </c>
      <c r="F125" s="7" t="n">
        <f aca="false">IF(D125="NO2",40,18)</f>
        <v>40</v>
      </c>
      <c r="G125" s="8" t="n">
        <f aca="false">E125/F125</f>
        <v>0.935</v>
      </c>
      <c r="H125" s="0" t="str">
        <f aca="false">IF(E125&gt;F125,"Exceedance",IF(E125&gt;=F125*0.9,"Watch","Compliant"))</f>
        <v>Watch</v>
      </c>
    </row>
    <row r="126" customFormat="false" ht="15" hidden="false" customHeight="false" outlineLevel="0" collapsed="false">
      <c r="A126" s="0" t="str">
        <f aca="false">'Raw Data'!C126</f>
        <v>2023-04</v>
      </c>
      <c r="B126" s="0" t="str">
        <f aca="false">'Raw Data'!D126</f>
        <v>Byres Road</v>
      </c>
      <c r="C126" s="0" t="str">
        <f aca="false">'Raw Data'!E126</f>
        <v>Byres Road/Dumbarton Road</v>
      </c>
      <c r="D126" s="0" t="str">
        <f aca="false">'Raw Data'!F126</f>
        <v>NO2</v>
      </c>
      <c r="E126" s="6" t="n">
        <f aca="false">'Raw Data'!H126</f>
        <v>36.7</v>
      </c>
      <c r="F126" s="7" t="n">
        <f aca="false">IF(D126="NO2",40,18)</f>
        <v>40</v>
      </c>
      <c r="G126" s="8" t="n">
        <f aca="false">E126/F126</f>
        <v>0.9175</v>
      </c>
      <c r="H126" s="0" t="str">
        <f aca="false">IF(E126&gt;F126,"Exceedance",IF(E126&gt;=F126*0.9,"Watch","Compliant"))</f>
        <v>Watch</v>
      </c>
    </row>
    <row r="127" customFormat="false" ht="15" hidden="false" customHeight="false" outlineLevel="0" collapsed="false">
      <c r="A127" s="0" t="str">
        <f aca="false">'Raw Data'!C127</f>
        <v>2023-04</v>
      </c>
      <c r="B127" s="0" t="str">
        <f aca="false">'Raw Data'!D127</f>
        <v>Parkhead Cross</v>
      </c>
      <c r="C127" s="0" t="str">
        <f aca="false">'Raw Data'!E127</f>
        <v>Parkhead Cross</v>
      </c>
      <c r="D127" s="0" t="str">
        <f aca="false">'Raw Data'!F127</f>
        <v>NO2</v>
      </c>
      <c r="E127" s="6" t="n">
        <f aca="false">'Raw Data'!H127</f>
        <v>38.2</v>
      </c>
      <c r="F127" s="7" t="n">
        <f aca="false">IF(D127="NO2",40,18)</f>
        <v>40</v>
      </c>
      <c r="G127" s="8" t="n">
        <f aca="false">E127/F127</f>
        <v>0.955</v>
      </c>
      <c r="H127" s="0" t="str">
        <f aca="false">IF(E127&gt;F127,"Exceedance",IF(E127&gt;=F127*0.9,"Watch","Compliant"))</f>
        <v>Watch</v>
      </c>
    </row>
    <row r="128" customFormat="false" ht="15" hidden="false" customHeight="false" outlineLevel="0" collapsed="false">
      <c r="A128" s="0" t="str">
        <f aca="false">'Raw Data'!C128</f>
        <v>2023-04</v>
      </c>
      <c r="B128" s="0" t="str">
        <f aca="false">'Raw Data'!D128</f>
        <v>Hope Street (kerbside)</v>
      </c>
      <c r="C128" s="0" t="str">
        <f aca="false">'Raw Data'!E128</f>
        <v>City Centre</v>
      </c>
      <c r="D128" s="0" t="str">
        <f aca="false">'Raw Data'!F128</f>
        <v>PM10</v>
      </c>
      <c r="E128" s="6" t="n">
        <f aca="false">'Raw Data'!H128</f>
        <v>17.6</v>
      </c>
      <c r="F128" s="7" t="n">
        <f aca="false">IF(D128="NO2",40,18)</f>
        <v>18</v>
      </c>
      <c r="G128" s="8" t="n">
        <f aca="false">E128/F128</f>
        <v>0.977777777777778</v>
      </c>
      <c r="H128" s="0" t="str">
        <f aca="false">IF(E128&gt;F128,"Exceedance",IF(E128&gt;=F128*0.9,"Watch","Compliant"))</f>
        <v>Watch</v>
      </c>
    </row>
    <row r="129" customFormat="false" ht="15" hidden="false" customHeight="false" outlineLevel="0" collapsed="false">
      <c r="A129" s="0" t="str">
        <f aca="false">'Raw Data'!C129</f>
        <v>2023-04</v>
      </c>
      <c r="B129" s="0" t="str">
        <f aca="false">'Raw Data'!D129</f>
        <v>Townhead</v>
      </c>
      <c r="C129" s="0" t="str">
        <f aca="false">'Raw Data'!E129</f>
        <v>City Centre</v>
      </c>
      <c r="D129" s="0" t="str">
        <f aca="false">'Raw Data'!F129</f>
        <v>PM10</v>
      </c>
      <c r="E129" s="6" t="n">
        <f aca="false">'Raw Data'!H129</f>
        <v>15.4</v>
      </c>
      <c r="F129" s="7" t="n">
        <f aca="false">IF(D129="NO2",40,18)</f>
        <v>18</v>
      </c>
      <c r="G129" s="8" t="n">
        <f aca="false">E129/F129</f>
        <v>0.855555555555556</v>
      </c>
      <c r="H129" s="0" t="str">
        <f aca="false">IF(E129&gt;F129,"Exceedance",IF(E129&gt;=F129*0.9,"Watch","Compliant"))</f>
        <v>Compliant</v>
      </c>
    </row>
    <row r="130" customFormat="false" ht="15" hidden="false" customHeight="false" outlineLevel="0" collapsed="false">
      <c r="A130" s="0" t="str">
        <f aca="false">'Raw Data'!C130</f>
        <v>2023-05</v>
      </c>
      <c r="B130" s="0" t="str">
        <f aca="false">'Raw Data'!D130</f>
        <v>Hope Street (kerbside)</v>
      </c>
      <c r="C130" s="0" t="str">
        <f aca="false">'Raw Data'!E130</f>
        <v>City Centre</v>
      </c>
      <c r="D130" s="0" t="str">
        <f aca="false">'Raw Data'!F130</f>
        <v>NO2</v>
      </c>
      <c r="E130" s="6" t="n">
        <f aca="false">'Raw Data'!H130</f>
        <v>42.7</v>
      </c>
      <c r="F130" s="7" t="n">
        <f aca="false">IF(D130="NO2",40,18)</f>
        <v>40</v>
      </c>
      <c r="G130" s="8" t="n">
        <f aca="false">E130/F130</f>
        <v>1.0675</v>
      </c>
      <c r="H130" s="0" t="str">
        <f aca="false">IF(E130&gt;F130,"Exceedance",IF(E130&gt;=F130*0.9,"Watch","Compliant"))</f>
        <v>Exceedance</v>
      </c>
    </row>
    <row r="131" customFormat="false" ht="15" hidden="false" customHeight="false" outlineLevel="0" collapsed="false">
      <c r="A131" s="0" t="str">
        <f aca="false">'Raw Data'!C131</f>
        <v>2023-05</v>
      </c>
      <c r="B131" s="0" t="str">
        <f aca="false">'Raw Data'!D131</f>
        <v>North Street</v>
      </c>
      <c r="C131" s="0" t="str">
        <f aca="false">'Raw Data'!E131</f>
        <v>City Centre</v>
      </c>
      <c r="D131" s="0" t="str">
        <f aca="false">'Raw Data'!F131</f>
        <v>NO2</v>
      </c>
      <c r="E131" s="6" t="n">
        <f aca="false">'Raw Data'!H131</f>
        <v>39.1</v>
      </c>
      <c r="F131" s="7" t="n">
        <f aca="false">IF(D131="NO2",40,18)</f>
        <v>40</v>
      </c>
      <c r="G131" s="8" t="n">
        <f aca="false">E131/F131</f>
        <v>0.9775</v>
      </c>
      <c r="H131" s="0" t="str">
        <f aca="false">IF(E131&gt;F131,"Exceedance",IF(E131&gt;=F131*0.9,"Watch","Compliant"))</f>
        <v>Watch</v>
      </c>
    </row>
    <row r="132" customFormat="false" ht="15" hidden="false" customHeight="false" outlineLevel="0" collapsed="false">
      <c r="A132" s="0" t="str">
        <f aca="false">'Raw Data'!C132</f>
        <v>2023-05</v>
      </c>
      <c r="B132" s="0" t="str">
        <f aca="false">'Raw Data'!D132</f>
        <v>Royston Road</v>
      </c>
      <c r="C132" s="0" t="str">
        <f aca="false">'Raw Data'!E132</f>
        <v>City Centre</v>
      </c>
      <c r="D132" s="0" t="str">
        <f aca="false">'Raw Data'!F132</f>
        <v>NO2</v>
      </c>
      <c r="E132" s="6" t="n">
        <f aca="false">'Raw Data'!H132</f>
        <v>35</v>
      </c>
      <c r="F132" s="7" t="n">
        <f aca="false">IF(D132="NO2",40,18)</f>
        <v>40</v>
      </c>
      <c r="G132" s="8" t="n">
        <f aca="false">E132/F132</f>
        <v>0.875</v>
      </c>
      <c r="H132" s="0" t="str">
        <f aca="false">IF(E132&gt;F132,"Exceedance",IF(E132&gt;=F132*0.9,"Watch","Compliant"))</f>
        <v>Compliant</v>
      </c>
    </row>
    <row r="133" customFormat="false" ht="15" hidden="false" customHeight="false" outlineLevel="0" collapsed="false">
      <c r="A133" s="0" t="str">
        <f aca="false">'Raw Data'!C133</f>
        <v>2023-05</v>
      </c>
      <c r="B133" s="0" t="str">
        <f aca="false">'Raw Data'!D133</f>
        <v>Dumbarton Road</v>
      </c>
      <c r="C133" s="0" t="str">
        <f aca="false">'Raw Data'!E133</f>
        <v>Byres Road/Dumbarton Road</v>
      </c>
      <c r="D133" s="0" t="str">
        <f aca="false">'Raw Data'!F133</f>
        <v>NO2</v>
      </c>
      <c r="E133" s="6" t="n">
        <f aca="false">'Raw Data'!H133</f>
        <v>37.6</v>
      </c>
      <c r="F133" s="7" t="n">
        <f aca="false">IF(D133="NO2",40,18)</f>
        <v>40</v>
      </c>
      <c r="G133" s="8" t="n">
        <f aca="false">E133/F133</f>
        <v>0.94</v>
      </c>
      <c r="H133" s="0" t="str">
        <f aca="false">IF(E133&gt;F133,"Exceedance",IF(E133&gt;=F133*0.9,"Watch","Compliant"))</f>
        <v>Watch</v>
      </c>
    </row>
    <row r="134" customFormat="false" ht="15" hidden="false" customHeight="false" outlineLevel="0" collapsed="false">
      <c r="A134" s="0" t="str">
        <f aca="false">'Raw Data'!C134</f>
        <v>2023-05</v>
      </c>
      <c r="B134" s="0" t="str">
        <f aca="false">'Raw Data'!D134</f>
        <v>Byres Road</v>
      </c>
      <c r="C134" s="0" t="str">
        <f aca="false">'Raw Data'!E134</f>
        <v>Byres Road/Dumbarton Road</v>
      </c>
      <c r="D134" s="0" t="str">
        <f aca="false">'Raw Data'!F134</f>
        <v>NO2</v>
      </c>
      <c r="E134" s="6" t="n">
        <f aca="false">'Raw Data'!H134</f>
        <v>33.9</v>
      </c>
      <c r="F134" s="7" t="n">
        <f aca="false">IF(D134="NO2",40,18)</f>
        <v>40</v>
      </c>
      <c r="G134" s="8" t="n">
        <f aca="false">E134/F134</f>
        <v>0.8475</v>
      </c>
      <c r="H134" s="0" t="str">
        <f aca="false">IF(E134&gt;F134,"Exceedance",IF(E134&gt;=F134*0.9,"Watch","Compliant"))</f>
        <v>Compliant</v>
      </c>
    </row>
    <row r="135" customFormat="false" ht="15" hidden="false" customHeight="false" outlineLevel="0" collapsed="false">
      <c r="A135" s="0" t="str">
        <f aca="false">'Raw Data'!C135</f>
        <v>2023-05</v>
      </c>
      <c r="B135" s="0" t="str">
        <f aca="false">'Raw Data'!D135</f>
        <v>Parkhead Cross</v>
      </c>
      <c r="C135" s="0" t="str">
        <f aca="false">'Raw Data'!E135</f>
        <v>Parkhead Cross</v>
      </c>
      <c r="D135" s="0" t="str">
        <f aca="false">'Raw Data'!F135</f>
        <v>NO2</v>
      </c>
      <c r="E135" s="6" t="n">
        <f aca="false">'Raw Data'!H135</f>
        <v>37.7</v>
      </c>
      <c r="F135" s="7" t="n">
        <f aca="false">IF(D135="NO2",40,18)</f>
        <v>40</v>
      </c>
      <c r="G135" s="8" t="n">
        <f aca="false">E135/F135</f>
        <v>0.9425</v>
      </c>
      <c r="H135" s="0" t="str">
        <f aca="false">IF(E135&gt;F135,"Exceedance",IF(E135&gt;=F135*0.9,"Watch","Compliant"))</f>
        <v>Watch</v>
      </c>
    </row>
    <row r="136" customFormat="false" ht="15" hidden="false" customHeight="false" outlineLevel="0" collapsed="false">
      <c r="A136" s="0" t="str">
        <f aca="false">'Raw Data'!C136</f>
        <v>2023-05</v>
      </c>
      <c r="B136" s="0" t="str">
        <f aca="false">'Raw Data'!D136</f>
        <v>Hope Street (kerbside)</v>
      </c>
      <c r="C136" s="0" t="str">
        <f aca="false">'Raw Data'!E136</f>
        <v>City Centre</v>
      </c>
      <c r="D136" s="0" t="str">
        <f aca="false">'Raw Data'!F136</f>
        <v>PM10</v>
      </c>
      <c r="E136" s="6" t="n">
        <f aca="false">'Raw Data'!H136</f>
        <v>16.1</v>
      </c>
      <c r="F136" s="7" t="n">
        <f aca="false">IF(D136="NO2",40,18)</f>
        <v>18</v>
      </c>
      <c r="G136" s="8" t="n">
        <f aca="false">E136/F136</f>
        <v>0.894444444444445</v>
      </c>
      <c r="H136" s="0" t="str">
        <f aca="false">IF(E136&gt;F136,"Exceedance",IF(E136&gt;=F136*0.9,"Watch","Compliant"))</f>
        <v>Compliant</v>
      </c>
    </row>
    <row r="137" customFormat="false" ht="15" hidden="false" customHeight="false" outlineLevel="0" collapsed="false">
      <c r="A137" s="0" t="str">
        <f aca="false">'Raw Data'!C137</f>
        <v>2023-05</v>
      </c>
      <c r="B137" s="0" t="str">
        <f aca="false">'Raw Data'!D137</f>
        <v>Townhead</v>
      </c>
      <c r="C137" s="0" t="str">
        <f aca="false">'Raw Data'!E137</f>
        <v>City Centre</v>
      </c>
      <c r="D137" s="0" t="str">
        <f aca="false">'Raw Data'!F137</f>
        <v>PM10</v>
      </c>
      <c r="E137" s="6" t="n">
        <f aca="false">'Raw Data'!H137</f>
        <v>13.9</v>
      </c>
      <c r="F137" s="7" t="n">
        <f aca="false">IF(D137="NO2",40,18)</f>
        <v>18</v>
      </c>
      <c r="G137" s="8" t="n">
        <f aca="false">E137/F137</f>
        <v>0.772222222222222</v>
      </c>
      <c r="H137" s="0" t="str">
        <f aca="false">IF(E137&gt;F137,"Exceedance",IF(E137&gt;=F137*0.9,"Watch","Compliant"))</f>
        <v>Compliant</v>
      </c>
    </row>
    <row r="138" customFormat="false" ht="15" hidden="false" customHeight="false" outlineLevel="0" collapsed="false">
      <c r="A138" s="0" t="str">
        <f aca="false">'Raw Data'!C138</f>
        <v>2023-06</v>
      </c>
      <c r="B138" s="0" t="str">
        <f aca="false">'Raw Data'!D138</f>
        <v>Hope Street (kerbside)</v>
      </c>
      <c r="C138" s="0" t="str">
        <f aca="false">'Raw Data'!E138</f>
        <v>City Centre</v>
      </c>
      <c r="D138" s="0" t="str">
        <f aca="false">'Raw Data'!F138</f>
        <v>NO2</v>
      </c>
      <c r="E138" s="6" t="n">
        <f aca="false">'Raw Data'!H138</f>
        <v>41.5</v>
      </c>
      <c r="F138" s="7" t="n">
        <f aca="false">IF(D138="NO2",40,18)</f>
        <v>40</v>
      </c>
      <c r="G138" s="8" t="n">
        <f aca="false">E138/F138</f>
        <v>1.0375</v>
      </c>
      <c r="H138" s="0" t="str">
        <f aca="false">IF(E138&gt;F138,"Exceedance",IF(E138&gt;=F138*0.9,"Watch","Compliant"))</f>
        <v>Exceedance</v>
      </c>
    </row>
    <row r="139" customFormat="false" ht="15" hidden="false" customHeight="false" outlineLevel="0" collapsed="false">
      <c r="A139" s="0" t="str">
        <f aca="false">'Raw Data'!C139</f>
        <v>2023-06</v>
      </c>
      <c r="B139" s="0" t="str">
        <f aca="false">'Raw Data'!D139</f>
        <v>North Street</v>
      </c>
      <c r="C139" s="0" t="str">
        <f aca="false">'Raw Data'!E139</f>
        <v>City Centre</v>
      </c>
      <c r="D139" s="0" t="str">
        <f aca="false">'Raw Data'!F139</f>
        <v>NO2</v>
      </c>
      <c r="E139" s="6" t="n">
        <f aca="false">'Raw Data'!H139</f>
        <v>37.5</v>
      </c>
      <c r="F139" s="7" t="n">
        <f aca="false">IF(D139="NO2",40,18)</f>
        <v>40</v>
      </c>
      <c r="G139" s="8" t="n">
        <f aca="false">E139/F139</f>
        <v>0.9375</v>
      </c>
      <c r="H139" s="0" t="str">
        <f aca="false">IF(E139&gt;F139,"Exceedance",IF(E139&gt;=F139*0.9,"Watch","Compliant"))</f>
        <v>Watch</v>
      </c>
    </row>
    <row r="140" customFormat="false" ht="15" hidden="false" customHeight="false" outlineLevel="0" collapsed="false">
      <c r="A140" s="0" t="str">
        <f aca="false">'Raw Data'!C140</f>
        <v>2023-06</v>
      </c>
      <c r="B140" s="0" t="str">
        <f aca="false">'Raw Data'!D140</f>
        <v>Royston Road</v>
      </c>
      <c r="C140" s="0" t="str">
        <f aca="false">'Raw Data'!E140</f>
        <v>City Centre</v>
      </c>
      <c r="D140" s="0" t="str">
        <f aca="false">'Raw Data'!F140</f>
        <v>NO2</v>
      </c>
      <c r="E140" s="6" t="n">
        <f aca="false">'Raw Data'!H140</f>
        <v>33.3</v>
      </c>
      <c r="F140" s="7" t="n">
        <f aca="false">IF(D140="NO2",40,18)</f>
        <v>40</v>
      </c>
      <c r="G140" s="8" t="n">
        <f aca="false">E140/F140</f>
        <v>0.8325</v>
      </c>
      <c r="H140" s="0" t="str">
        <f aca="false">IF(E140&gt;F140,"Exceedance",IF(E140&gt;=F140*0.9,"Watch","Compliant"))</f>
        <v>Compliant</v>
      </c>
    </row>
    <row r="141" customFormat="false" ht="15" hidden="false" customHeight="false" outlineLevel="0" collapsed="false">
      <c r="A141" s="0" t="str">
        <f aca="false">'Raw Data'!C141</f>
        <v>2023-06</v>
      </c>
      <c r="B141" s="0" t="str">
        <f aca="false">'Raw Data'!D141</f>
        <v>Dumbarton Road</v>
      </c>
      <c r="C141" s="0" t="str">
        <f aca="false">'Raw Data'!E141</f>
        <v>Byres Road/Dumbarton Road</v>
      </c>
      <c r="D141" s="0" t="str">
        <f aca="false">'Raw Data'!F141</f>
        <v>NO2</v>
      </c>
      <c r="E141" s="6" t="n">
        <f aca="false">'Raw Data'!H141</f>
        <v>34.4</v>
      </c>
      <c r="F141" s="7" t="n">
        <f aca="false">IF(D141="NO2",40,18)</f>
        <v>40</v>
      </c>
      <c r="G141" s="8" t="n">
        <f aca="false">E141/F141</f>
        <v>0.86</v>
      </c>
      <c r="H141" s="0" t="str">
        <f aca="false">IF(E141&gt;F141,"Exceedance",IF(E141&gt;=F141*0.9,"Watch","Compliant"))</f>
        <v>Compliant</v>
      </c>
    </row>
    <row r="142" customFormat="false" ht="15" hidden="false" customHeight="false" outlineLevel="0" collapsed="false">
      <c r="A142" s="0" t="str">
        <f aca="false">'Raw Data'!C142</f>
        <v>2023-06</v>
      </c>
      <c r="B142" s="0" t="str">
        <f aca="false">'Raw Data'!D142</f>
        <v>Byres Road</v>
      </c>
      <c r="C142" s="0" t="str">
        <f aca="false">'Raw Data'!E142</f>
        <v>Byres Road/Dumbarton Road</v>
      </c>
      <c r="D142" s="0" t="str">
        <f aca="false">'Raw Data'!F142</f>
        <v>NO2</v>
      </c>
      <c r="E142" s="6" t="n">
        <f aca="false">'Raw Data'!H142</f>
        <v>31.1</v>
      </c>
      <c r="F142" s="7" t="n">
        <f aca="false">IF(D142="NO2",40,18)</f>
        <v>40</v>
      </c>
      <c r="G142" s="8" t="n">
        <f aca="false">E142/F142</f>
        <v>0.7775</v>
      </c>
      <c r="H142" s="0" t="str">
        <f aca="false">IF(E142&gt;F142,"Exceedance",IF(E142&gt;=F142*0.9,"Watch","Compliant"))</f>
        <v>Compliant</v>
      </c>
    </row>
    <row r="143" customFormat="false" ht="15" hidden="false" customHeight="false" outlineLevel="0" collapsed="false">
      <c r="A143" s="0" t="str">
        <f aca="false">'Raw Data'!C143</f>
        <v>2023-06</v>
      </c>
      <c r="B143" s="0" t="str">
        <f aca="false">'Raw Data'!D143</f>
        <v>Parkhead Cross</v>
      </c>
      <c r="C143" s="0" t="str">
        <f aca="false">'Raw Data'!E143</f>
        <v>Parkhead Cross</v>
      </c>
      <c r="D143" s="0" t="str">
        <f aca="false">'Raw Data'!F143</f>
        <v>NO2</v>
      </c>
      <c r="E143" s="6" t="n">
        <f aca="false">'Raw Data'!H143</f>
        <v>35.8</v>
      </c>
      <c r="F143" s="7" t="n">
        <f aca="false">IF(D143="NO2",40,18)</f>
        <v>40</v>
      </c>
      <c r="G143" s="8" t="n">
        <f aca="false">E143/F143</f>
        <v>0.895</v>
      </c>
      <c r="H143" s="0" t="str">
        <f aca="false">IF(E143&gt;F143,"Exceedance",IF(E143&gt;=F143*0.9,"Watch","Compliant"))</f>
        <v>Compliant</v>
      </c>
    </row>
    <row r="144" customFormat="false" ht="15" hidden="false" customHeight="false" outlineLevel="0" collapsed="false">
      <c r="A144" s="0" t="str">
        <f aca="false">'Raw Data'!C144</f>
        <v>2023-06</v>
      </c>
      <c r="B144" s="0" t="str">
        <f aca="false">'Raw Data'!D144</f>
        <v>Hope Street (kerbside)</v>
      </c>
      <c r="C144" s="0" t="str">
        <f aca="false">'Raw Data'!E144</f>
        <v>City Centre</v>
      </c>
      <c r="D144" s="0" t="str">
        <f aca="false">'Raw Data'!F144</f>
        <v>PM10</v>
      </c>
      <c r="E144" s="6" t="n">
        <f aca="false">'Raw Data'!H144</f>
        <v>16</v>
      </c>
      <c r="F144" s="7" t="n">
        <f aca="false">IF(D144="NO2",40,18)</f>
        <v>18</v>
      </c>
      <c r="G144" s="8" t="n">
        <f aca="false">E144/F144</f>
        <v>0.888888888888889</v>
      </c>
      <c r="H144" s="0" t="str">
        <f aca="false">IF(E144&gt;F144,"Exceedance",IF(E144&gt;=F144*0.9,"Watch","Compliant"))</f>
        <v>Compliant</v>
      </c>
    </row>
    <row r="145" customFormat="false" ht="15" hidden="false" customHeight="false" outlineLevel="0" collapsed="false">
      <c r="A145" s="0" t="str">
        <f aca="false">'Raw Data'!C145</f>
        <v>2023-06</v>
      </c>
      <c r="B145" s="0" t="str">
        <f aca="false">'Raw Data'!D145</f>
        <v>Townhead</v>
      </c>
      <c r="C145" s="0" t="str">
        <f aca="false">'Raw Data'!E145</f>
        <v>City Centre</v>
      </c>
      <c r="D145" s="0" t="str">
        <f aca="false">'Raw Data'!F145</f>
        <v>PM10</v>
      </c>
      <c r="E145" s="6" t="n">
        <f aca="false">'Raw Data'!H145</f>
        <v>13.6</v>
      </c>
      <c r="F145" s="7" t="n">
        <f aca="false">IF(D145="NO2",40,18)</f>
        <v>18</v>
      </c>
      <c r="G145" s="8" t="n">
        <f aca="false">E145/F145</f>
        <v>0.755555555555556</v>
      </c>
      <c r="H145" s="0" t="str">
        <f aca="false">IF(E145&gt;F145,"Exceedance",IF(E145&gt;=F145*0.9,"Watch","Compliant"))</f>
        <v>Compliant</v>
      </c>
    </row>
    <row r="146" customFormat="false" ht="15" hidden="false" customHeight="false" outlineLevel="0" collapsed="false">
      <c r="A146" s="0" t="str">
        <f aca="false">'Raw Data'!C146</f>
        <v>2023-07</v>
      </c>
      <c r="B146" s="0" t="str">
        <f aca="false">'Raw Data'!D146</f>
        <v>Hope Street (kerbside)</v>
      </c>
      <c r="C146" s="0" t="str">
        <f aca="false">'Raw Data'!E146</f>
        <v>City Centre</v>
      </c>
      <c r="D146" s="0" t="str">
        <f aca="false">'Raw Data'!F146</f>
        <v>NO2</v>
      </c>
      <c r="E146" s="6" t="n">
        <f aca="false">'Raw Data'!H146</f>
        <v>43.7</v>
      </c>
      <c r="F146" s="7" t="n">
        <f aca="false">IF(D146="NO2",40,18)</f>
        <v>40</v>
      </c>
      <c r="G146" s="8" t="n">
        <f aca="false">E146/F146</f>
        <v>1.0925</v>
      </c>
      <c r="H146" s="0" t="str">
        <f aca="false">IF(E146&gt;F146,"Exceedance",IF(E146&gt;=F146*0.9,"Watch","Compliant"))</f>
        <v>Exceedance</v>
      </c>
    </row>
    <row r="147" customFormat="false" ht="15" hidden="false" customHeight="false" outlineLevel="0" collapsed="false">
      <c r="A147" s="0" t="str">
        <f aca="false">'Raw Data'!C147</f>
        <v>2023-07</v>
      </c>
      <c r="B147" s="0" t="str">
        <f aca="false">'Raw Data'!D147</f>
        <v>North Street</v>
      </c>
      <c r="C147" s="0" t="str">
        <f aca="false">'Raw Data'!E147</f>
        <v>City Centre</v>
      </c>
      <c r="D147" s="0" t="str">
        <f aca="false">'Raw Data'!F147</f>
        <v>NO2</v>
      </c>
      <c r="E147" s="6" t="n">
        <f aca="false">'Raw Data'!H147</f>
        <v>38.5</v>
      </c>
      <c r="F147" s="7" t="n">
        <f aca="false">IF(D147="NO2",40,18)</f>
        <v>40</v>
      </c>
      <c r="G147" s="8" t="n">
        <f aca="false">E147/F147</f>
        <v>0.9625</v>
      </c>
      <c r="H147" s="0" t="str">
        <f aca="false">IF(E147&gt;F147,"Exceedance",IF(E147&gt;=F147*0.9,"Watch","Compliant"))</f>
        <v>Watch</v>
      </c>
    </row>
    <row r="148" customFormat="false" ht="15" hidden="false" customHeight="false" outlineLevel="0" collapsed="false">
      <c r="A148" s="0" t="str">
        <f aca="false">'Raw Data'!C148</f>
        <v>2023-07</v>
      </c>
      <c r="B148" s="0" t="str">
        <f aca="false">'Raw Data'!D148</f>
        <v>Royston Road</v>
      </c>
      <c r="C148" s="0" t="str">
        <f aca="false">'Raw Data'!E148</f>
        <v>City Centre</v>
      </c>
      <c r="D148" s="0" t="str">
        <f aca="false">'Raw Data'!F148</f>
        <v>NO2</v>
      </c>
      <c r="E148" s="6" t="n">
        <f aca="false">'Raw Data'!H148</f>
        <v>34.2</v>
      </c>
      <c r="F148" s="7" t="n">
        <f aca="false">IF(D148="NO2",40,18)</f>
        <v>40</v>
      </c>
      <c r="G148" s="8" t="n">
        <f aca="false">E148/F148</f>
        <v>0.855</v>
      </c>
      <c r="H148" s="0" t="str">
        <f aca="false">IF(E148&gt;F148,"Exceedance",IF(E148&gt;=F148*0.9,"Watch","Compliant"))</f>
        <v>Compliant</v>
      </c>
    </row>
    <row r="149" customFormat="false" ht="15" hidden="false" customHeight="false" outlineLevel="0" collapsed="false">
      <c r="A149" s="0" t="str">
        <f aca="false">'Raw Data'!C149</f>
        <v>2023-07</v>
      </c>
      <c r="B149" s="0" t="str">
        <f aca="false">'Raw Data'!D149</f>
        <v>Dumbarton Road</v>
      </c>
      <c r="C149" s="0" t="str">
        <f aca="false">'Raw Data'!E149</f>
        <v>Byres Road/Dumbarton Road</v>
      </c>
      <c r="D149" s="0" t="str">
        <f aca="false">'Raw Data'!F149</f>
        <v>NO2</v>
      </c>
      <c r="E149" s="6" t="n">
        <f aca="false">'Raw Data'!H149</f>
        <v>35.6</v>
      </c>
      <c r="F149" s="7" t="n">
        <f aca="false">IF(D149="NO2",40,18)</f>
        <v>40</v>
      </c>
      <c r="G149" s="8" t="n">
        <f aca="false">E149/F149</f>
        <v>0.89</v>
      </c>
      <c r="H149" s="0" t="str">
        <f aca="false">IF(E149&gt;F149,"Exceedance",IF(E149&gt;=F149*0.9,"Watch","Compliant"))</f>
        <v>Compliant</v>
      </c>
    </row>
    <row r="150" customFormat="false" ht="15" hidden="false" customHeight="false" outlineLevel="0" collapsed="false">
      <c r="A150" s="0" t="str">
        <f aca="false">'Raw Data'!C150</f>
        <v>2023-07</v>
      </c>
      <c r="B150" s="0" t="str">
        <f aca="false">'Raw Data'!D150</f>
        <v>Byres Road</v>
      </c>
      <c r="C150" s="0" t="str">
        <f aca="false">'Raw Data'!E150</f>
        <v>Byres Road/Dumbarton Road</v>
      </c>
      <c r="D150" s="0" t="str">
        <f aca="false">'Raw Data'!F150</f>
        <v>NO2</v>
      </c>
      <c r="E150" s="6" t="n">
        <f aca="false">'Raw Data'!H150</f>
        <v>30.2</v>
      </c>
      <c r="F150" s="7" t="n">
        <f aca="false">IF(D150="NO2",40,18)</f>
        <v>40</v>
      </c>
      <c r="G150" s="8" t="n">
        <f aca="false">E150/F150</f>
        <v>0.755</v>
      </c>
      <c r="H150" s="0" t="str">
        <f aca="false">IF(E150&gt;F150,"Exceedance",IF(E150&gt;=F150*0.9,"Watch","Compliant"))</f>
        <v>Compliant</v>
      </c>
    </row>
    <row r="151" customFormat="false" ht="15" hidden="false" customHeight="false" outlineLevel="0" collapsed="false">
      <c r="A151" s="0" t="str">
        <f aca="false">'Raw Data'!C151</f>
        <v>2023-07</v>
      </c>
      <c r="B151" s="0" t="str">
        <f aca="false">'Raw Data'!D151</f>
        <v>Parkhead Cross</v>
      </c>
      <c r="C151" s="0" t="str">
        <f aca="false">'Raw Data'!E151</f>
        <v>Parkhead Cross</v>
      </c>
      <c r="D151" s="0" t="str">
        <f aca="false">'Raw Data'!F151</f>
        <v>NO2</v>
      </c>
      <c r="E151" s="6" t="n">
        <f aca="false">'Raw Data'!H151</f>
        <v>33.5</v>
      </c>
      <c r="F151" s="7" t="n">
        <f aca="false">IF(D151="NO2",40,18)</f>
        <v>40</v>
      </c>
      <c r="G151" s="8" t="n">
        <f aca="false">E151/F151</f>
        <v>0.8375</v>
      </c>
      <c r="H151" s="0" t="str">
        <f aca="false">IF(E151&gt;F151,"Exceedance",IF(E151&gt;=F151*0.9,"Watch","Compliant"))</f>
        <v>Compliant</v>
      </c>
    </row>
    <row r="152" customFormat="false" ht="15" hidden="false" customHeight="false" outlineLevel="0" collapsed="false">
      <c r="A152" s="0" t="str">
        <f aca="false">'Raw Data'!C152</f>
        <v>2023-07</v>
      </c>
      <c r="B152" s="0" t="str">
        <f aca="false">'Raw Data'!D152</f>
        <v>Hope Street (kerbside)</v>
      </c>
      <c r="C152" s="0" t="str">
        <f aca="false">'Raw Data'!E152</f>
        <v>City Centre</v>
      </c>
      <c r="D152" s="0" t="str">
        <f aca="false">'Raw Data'!F152</f>
        <v>PM10</v>
      </c>
      <c r="E152" s="6" t="n">
        <f aca="false">'Raw Data'!H152</f>
        <v>15.2</v>
      </c>
      <c r="F152" s="7" t="n">
        <f aca="false">IF(D152="NO2",40,18)</f>
        <v>18</v>
      </c>
      <c r="G152" s="8" t="n">
        <f aca="false">E152/F152</f>
        <v>0.844444444444444</v>
      </c>
      <c r="H152" s="0" t="str">
        <f aca="false">IF(E152&gt;F152,"Exceedance",IF(E152&gt;=F152*0.9,"Watch","Compliant"))</f>
        <v>Compliant</v>
      </c>
    </row>
    <row r="153" customFormat="false" ht="15" hidden="false" customHeight="false" outlineLevel="0" collapsed="false">
      <c r="A153" s="0" t="str">
        <f aca="false">'Raw Data'!C153</f>
        <v>2023-07</v>
      </c>
      <c r="B153" s="0" t="str">
        <f aca="false">'Raw Data'!D153</f>
        <v>Townhead</v>
      </c>
      <c r="C153" s="0" t="str">
        <f aca="false">'Raw Data'!E153</f>
        <v>City Centre</v>
      </c>
      <c r="D153" s="0" t="str">
        <f aca="false">'Raw Data'!F153</f>
        <v>PM10</v>
      </c>
      <c r="E153" s="6" t="n">
        <f aca="false">'Raw Data'!H153</f>
        <v>12.6</v>
      </c>
      <c r="F153" s="7" t="n">
        <f aca="false">IF(D153="NO2",40,18)</f>
        <v>18</v>
      </c>
      <c r="G153" s="8" t="n">
        <f aca="false">E153/F153</f>
        <v>0.7</v>
      </c>
      <c r="H153" s="0" t="str">
        <f aca="false">IF(E153&gt;F153,"Exceedance",IF(E153&gt;=F153*0.9,"Watch","Compliant"))</f>
        <v>Compliant</v>
      </c>
    </row>
    <row r="154" customFormat="false" ht="15" hidden="false" customHeight="false" outlineLevel="0" collapsed="false">
      <c r="A154" s="0" t="str">
        <f aca="false">'Raw Data'!C154</f>
        <v>2023-08</v>
      </c>
      <c r="B154" s="0" t="str">
        <f aca="false">'Raw Data'!D154</f>
        <v>Hope Street (kerbside)</v>
      </c>
      <c r="C154" s="0" t="str">
        <f aca="false">'Raw Data'!E154</f>
        <v>City Centre</v>
      </c>
      <c r="D154" s="0" t="str">
        <f aca="false">'Raw Data'!F154</f>
        <v>NO2</v>
      </c>
      <c r="E154" s="6" t="n">
        <f aca="false">'Raw Data'!H154</f>
        <v>44.6</v>
      </c>
      <c r="F154" s="7" t="n">
        <f aca="false">IF(D154="NO2",40,18)</f>
        <v>40</v>
      </c>
      <c r="G154" s="8" t="n">
        <f aca="false">E154/F154</f>
        <v>1.115</v>
      </c>
      <c r="H154" s="0" t="str">
        <f aca="false">IF(E154&gt;F154,"Exceedance",IF(E154&gt;=F154*0.9,"Watch","Compliant"))</f>
        <v>Exceedance</v>
      </c>
    </row>
    <row r="155" customFormat="false" ht="15" hidden="false" customHeight="false" outlineLevel="0" collapsed="false">
      <c r="A155" s="0" t="str">
        <f aca="false">'Raw Data'!C155</f>
        <v>2023-08</v>
      </c>
      <c r="B155" s="0" t="str">
        <f aca="false">'Raw Data'!D155</f>
        <v>North Street</v>
      </c>
      <c r="C155" s="0" t="str">
        <f aca="false">'Raw Data'!E155</f>
        <v>City Centre</v>
      </c>
      <c r="D155" s="0" t="str">
        <f aca="false">'Raw Data'!F155</f>
        <v>NO2</v>
      </c>
      <c r="E155" s="6" t="n">
        <f aca="false">'Raw Data'!H155</f>
        <v>38.7</v>
      </c>
      <c r="F155" s="7" t="n">
        <f aca="false">IF(D155="NO2",40,18)</f>
        <v>40</v>
      </c>
      <c r="G155" s="8" t="n">
        <f aca="false">E155/F155</f>
        <v>0.9675</v>
      </c>
      <c r="H155" s="0" t="str">
        <f aca="false">IF(E155&gt;F155,"Exceedance",IF(E155&gt;=F155*0.9,"Watch","Compliant"))</f>
        <v>Watch</v>
      </c>
    </row>
    <row r="156" customFormat="false" ht="15" hidden="false" customHeight="false" outlineLevel="0" collapsed="false">
      <c r="A156" s="0" t="str">
        <f aca="false">'Raw Data'!C156</f>
        <v>2023-08</v>
      </c>
      <c r="B156" s="0" t="str">
        <f aca="false">'Raw Data'!D156</f>
        <v>Royston Road</v>
      </c>
      <c r="C156" s="0" t="str">
        <f aca="false">'Raw Data'!E156</f>
        <v>City Centre</v>
      </c>
      <c r="D156" s="0" t="str">
        <f aca="false">'Raw Data'!F156</f>
        <v>NO2</v>
      </c>
      <c r="E156" s="6" t="n">
        <f aca="false">'Raw Data'!H156</f>
        <v>33.4</v>
      </c>
      <c r="F156" s="7" t="n">
        <f aca="false">IF(D156="NO2",40,18)</f>
        <v>40</v>
      </c>
      <c r="G156" s="8" t="n">
        <f aca="false">E156/F156</f>
        <v>0.835</v>
      </c>
      <c r="H156" s="0" t="str">
        <f aca="false">IF(E156&gt;F156,"Exceedance",IF(E156&gt;=F156*0.9,"Watch","Compliant"))</f>
        <v>Compliant</v>
      </c>
    </row>
    <row r="157" customFormat="false" ht="15" hidden="false" customHeight="false" outlineLevel="0" collapsed="false">
      <c r="A157" s="0" t="str">
        <f aca="false">'Raw Data'!C157</f>
        <v>2023-08</v>
      </c>
      <c r="B157" s="0" t="str">
        <f aca="false">'Raw Data'!D157</f>
        <v>Dumbarton Road</v>
      </c>
      <c r="C157" s="0" t="str">
        <f aca="false">'Raw Data'!E157</f>
        <v>Byres Road/Dumbarton Road</v>
      </c>
      <c r="D157" s="0" t="str">
        <f aca="false">'Raw Data'!F157</f>
        <v>NO2</v>
      </c>
      <c r="E157" s="6" t="n">
        <f aca="false">'Raw Data'!H157</f>
        <v>34.9</v>
      </c>
      <c r="F157" s="7" t="n">
        <f aca="false">IF(D157="NO2",40,18)</f>
        <v>40</v>
      </c>
      <c r="G157" s="8" t="n">
        <f aca="false">E157/F157</f>
        <v>0.8725</v>
      </c>
      <c r="H157" s="0" t="str">
        <f aca="false">IF(E157&gt;F157,"Exceedance",IF(E157&gt;=F157*0.9,"Watch","Compliant"))</f>
        <v>Compliant</v>
      </c>
    </row>
    <row r="158" customFormat="false" ht="15" hidden="false" customHeight="false" outlineLevel="0" collapsed="false">
      <c r="A158" s="0" t="str">
        <f aca="false">'Raw Data'!C158</f>
        <v>2023-08</v>
      </c>
      <c r="B158" s="0" t="str">
        <f aca="false">'Raw Data'!D158</f>
        <v>Byres Road</v>
      </c>
      <c r="C158" s="0" t="str">
        <f aca="false">'Raw Data'!E158</f>
        <v>Byres Road/Dumbarton Road</v>
      </c>
      <c r="D158" s="0" t="str">
        <f aca="false">'Raw Data'!F158</f>
        <v>NO2</v>
      </c>
      <c r="E158" s="6" t="n">
        <f aca="false">'Raw Data'!H158</f>
        <v>33.4</v>
      </c>
      <c r="F158" s="7" t="n">
        <f aca="false">IF(D158="NO2",40,18)</f>
        <v>40</v>
      </c>
      <c r="G158" s="8" t="n">
        <f aca="false">E158/F158</f>
        <v>0.835</v>
      </c>
      <c r="H158" s="0" t="str">
        <f aca="false">IF(E158&gt;F158,"Exceedance",IF(E158&gt;=F158*0.9,"Watch","Compliant"))</f>
        <v>Compliant</v>
      </c>
    </row>
    <row r="159" customFormat="false" ht="15" hidden="false" customHeight="false" outlineLevel="0" collapsed="false">
      <c r="A159" s="0" t="str">
        <f aca="false">'Raw Data'!C159</f>
        <v>2023-08</v>
      </c>
      <c r="B159" s="0" t="str">
        <f aca="false">'Raw Data'!D159</f>
        <v>Parkhead Cross</v>
      </c>
      <c r="C159" s="0" t="str">
        <f aca="false">'Raw Data'!E159</f>
        <v>Parkhead Cross</v>
      </c>
      <c r="D159" s="0" t="str">
        <f aca="false">'Raw Data'!F159</f>
        <v>NO2</v>
      </c>
      <c r="E159" s="6" t="n">
        <f aca="false">'Raw Data'!H159</f>
        <v>36.1</v>
      </c>
      <c r="F159" s="7" t="n">
        <f aca="false">IF(D159="NO2",40,18)</f>
        <v>40</v>
      </c>
      <c r="G159" s="8" t="n">
        <f aca="false">E159/F159</f>
        <v>0.9025</v>
      </c>
      <c r="H159" s="0" t="str">
        <f aca="false">IF(E159&gt;F159,"Exceedance",IF(E159&gt;=F159*0.9,"Watch","Compliant"))</f>
        <v>Watch</v>
      </c>
    </row>
    <row r="160" customFormat="false" ht="15" hidden="false" customHeight="false" outlineLevel="0" collapsed="false">
      <c r="A160" s="0" t="str">
        <f aca="false">'Raw Data'!C160</f>
        <v>2023-08</v>
      </c>
      <c r="B160" s="0" t="str">
        <f aca="false">'Raw Data'!D160</f>
        <v>Hope Street (kerbside)</v>
      </c>
      <c r="C160" s="0" t="str">
        <f aca="false">'Raw Data'!E160</f>
        <v>City Centre</v>
      </c>
      <c r="D160" s="0" t="str">
        <f aca="false">'Raw Data'!F160</f>
        <v>PM10</v>
      </c>
      <c r="E160" s="6" t="n">
        <f aca="false">'Raw Data'!H160</f>
        <v>16.1</v>
      </c>
      <c r="F160" s="7" t="n">
        <f aca="false">IF(D160="NO2",40,18)</f>
        <v>18</v>
      </c>
      <c r="G160" s="8" t="n">
        <f aca="false">E160/F160</f>
        <v>0.894444444444445</v>
      </c>
      <c r="H160" s="0" t="str">
        <f aca="false">IF(E160&gt;F160,"Exceedance",IF(E160&gt;=F160*0.9,"Watch","Compliant"))</f>
        <v>Compliant</v>
      </c>
    </row>
    <row r="161" customFormat="false" ht="15" hidden="false" customHeight="false" outlineLevel="0" collapsed="false">
      <c r="A161" s="0" t="str">
        <f aca="false">'Raw Data'!C161</f>
        <v>2023-08</v>
      </c>
      <c r="B161" s="0" t="str">
        <f aca="false">'Raw Data'!D161</f>
        <v>Townhead</v>
      </c>
      <c r="C161" s="0" t="str">
        <f aca="false">'Raw Data'!E161</f>
        <v>City Centre</v>
      </c>
      <c r="D161" s="0" t="str">
        <f aca="false">'Raw Data'!F161</f>
        <v>PM10</v>
      </c>
      <c r="E161" s="6" t="n">
        <f aca="false">'Raw Data'!H161</f>
        <v>13.1</v>
      </c>
      <c r="F161" s="7" t="n">
        <f aca="false">IF(D161="NO2",40,18)</f>
        <v>18</v>
      </c>
      <c r="G161" s="8" t="n">
        <f aca="false">E161/F161</f>
        <v>0.727777777777778</v>
      </c>
      <c r="H161" s="0" t="str">
        <f aca="false">IF(E161&gt;F161,"Exceedance",IF(E161&gt;=F161*0.9,"Watch","Compliant"))</f>
        <v>Compliant</v>
      </c>
    </row>
    <row r="162" customFormat="false" ht="15" hidden="false" customHeight="false" outlineLevel="0" collapsed="false">
      <c r="A162" s="0" t="str">
        <f aca="false">'Raw Data'!C162</f>
        <v>2023-09</v>
      </c>
      <c r="B162" s="0" t="str">
        <f aca="false">'Raw Data'!D162</f>
        <v>Hope Street (kerbside)</v>
      </c>
      <c r="C162" s="0" t="str">
        <f aca="false">'Raw Data'!E162</f>
        <v>City Centre</v>
      </c>
      <c r="D162" s="0" t="str">
        <f aca="false">'Raw Data'!F162</f>
        <v>NO2</v>
      </c>
      <c r="E162" s="6" t="n">
        <f aca="false">'Raw Data'!H162</f>
        <v>48.1</v>
      </c>
      <c r="F162" s="7" t="n">
        <f aca="false">IF(D162="NO2",40,18)</f>
        <v>40</v>
      </c>
      <c r="G162" s="8" t="n">
        <f aca="false">E162/F162</f>
        <v>1.2025</v>
      </c>
      <c r="H162" s="0" t="str">
        <f aca="false">IF(E162&gt;F162,"Exceedance",IF(E162&gt;=F162*0.9,"Watch","Compliant"))</f>
        <v>Exceedance</v>
      </c>
    </row>
    <row r="163" customFormat="false" ht="15" hidden="false" customHeight="false" outlineLevel="0" collapsed="false">
      <c r="A163" s="0" t="str">
        <f aca="false">'Raw Data'!C163</f>
        <v>2023-09</v>
      </c>
      <c r="B163" s="0" t="str">
        <f aca="false">'Raw Data'!D163</f>
        <v>North Street</v>
      </c>
      <c r="C163" s="0" t="str">
        <f aca="false">'Raw Data'!E163</f>
        <v>City Centre</v>
      </c>
      <c r="D163" s="0" t="str">
        <f aca="false">'Raw Data'!F163</f>
        <v>NO2</v>
      </c>
      <c r="E163" s="6" t="n">
        <f aca="false">'Raw Data'!H163</f>
        <v>40.8</v>
      </c>
      <c r="F163" s="7" t="n">
        <f aca="false">IF(D163="NO2",40,18)</f>
        <v>40</v>
      </c>
      <c r="G163" s="8" t="n">
        <f aca="false">E163/F163</f>
        <v>1.02</v>
      </c>
      <c r="H163" s="0" t="str">
        <f aca="false">IF(E163&gt;F163,"Exceedance",IF(E163&gt;=F163*0.9,"Watch","Compliant"))</f>
        <v>Exceedance</v>
      </c>
    </row>
    <row r="164" customFormat="false" ht="15" hidden="false" customHeight="false" outlineLevel="0" collapsed="false">
      <c r="A164" s="0" t="str">
        <f aca="false">'Raw Data'!C164</f>
        <v>2023-09</v>
      </c>
      <c r="B164" s="0" t="str">
        <f aca="false">'Raw Data'!D164</f>
        <v>Royston Road</v>
      </c>
      <c r="C164" s="0" t="str">
        <f aca="false">'Raw Data'!E164</f>
        <v>City Centre</v>
      </c>
      <c r="D164" s="0" t="str">
        <f aca="false">'Raw Data'!F164</f>
        <v>NO2</v>
      </c>
      <c r="E164" s="6" t="n">
        <f aca="false">'Raw Data'!H164</f>
        <v>37.1</v>
      </c>
      <c r="F164" s="7" t="n">
        <f aca="false">IF(D164="NO2",40,18)</f>
        <v>40</v>
      </c>
      <c r="G164" s="8" t="n">
        <f aca="false">E164/F164</f>
        <v>0.9275</v>
      </c>
      <c r="H164" s="0" t="str">
        <f aca="false">IF(E164&gt;F164,"Exceedance",IF(E164&gt;=F164*0.9,"Watch","Compliant"))</f>
        <v>Watch</v>
      </c>
    </row>
    <row r="165" customFormat="false" ht="15" hidden="false" customHeight="false" outlineLevel="0" collapsed="false">
      <c r="A165" s="0" t="str">
        <f aca="false">'Raw Data'!C165</f>
        <v>2023-09</v>
      </c>
      <c r="B165" s="0" t="str">
        <f aca="false">'Raw Data'!D165</f>
        <v>Dumbarton Road</v>
      </c>
      <c r="C165" s="0" t="str">
        <f aca="false">'Raw Data'!E165</f>
        <v>Byres Road/Dumbarton Road</v>
      </c>
      <c r="D165" s="0" t="str">
        <f aca="false">'Raw Data'!F165</f>
        <v>NO2</v>
      </c>
      <c r="E165" s="6" t="n">
        <f aca="false">'Raw Data'!H165</f>
        <v>36.3</v>
      </c>
      <c r="F165" s="7" t="n">
        <f aca="false">IF(D165="NO2",40,18)</f>
        <v>40</v>
      </c>
      <c r="G165" s="8" t="n">
        <f aca="false">E165/F165</f>
        <v>0.9075</v>
      </c>
      <c r="H165" s="0" t="str">
        <f aca="false">IF(E165&gt;F165,"Exceedance",IF(E165&gt;=F165*0.9,"Watch","Compliant"))</f>
        <v>Watch</v>
      </c>
    </row>
    <row r="166" customFormat="false" ht="15" hidden="false" customHeight="false" outlineLevel="0" collapsed="false">
      <c r="A166" s="0" t="str">
        <f aca="false">'Raw Data'!C166</f>
        <v>2023-09</v>
      </c>
      <c r="B166" s="0" t="str">
        <f aca="false">'Raw Data'!D166</f>
        <v>Byres Road</v>
      </c>
      <c r="C166" s="0" t="str">
        <f aca="false">'Raw Data'!E166</f>
        <v>Byres Road/Dumbarton Road</v>
      </c>
      <c r="D166" s="0" t="str">
        <f aca="false">'Raw Data'!F166</f>
        <v>NO2</v>
      </c>
      <c r="E166" s="6" t="n">
        <f aca="false">'Raw Data'!H166</f>
        <v>34.7</v>
      </c>
      <c r="F166" s="7" t="n">
        <f aca="false">IF(D166="NO2",40,18)</f>
        <v>40</v>
      </c>
      <c r="G166" s="8" t="n">
        <f aca="false">E166/F166</f>
        <v>0.8675</v>
      </c>
      <c r="H166" s="0" t="str">
        <f aca="false">IF(E166&gt;F166,"Exceedance",IF(E166&gt;=F166*0.9,"Watch","Compliant"))</f>
        <v>Compliant</v>
      </c>
    </row>
    <row r="167" customFormat="false" ht="15" hidden="false" customHeight="false" outlineLevel="0" collapsed="false">
      <c r="A167" s="0" t="str">
        <f aca="false">'Raw Data'!C167</f>
        <v>2023-09</v>
      </c>
      <c r="B167" s="0" t="str">
        <f aca="false">'Raw Data'!D167</f>
        <v>Parkhead Cross</v>
      </c>
      <c r="C167" s="0" t="str">
        <f aca="false">'Raw Data'!E167</f>
        <v>Parkhead Cross</v>
      </c>
      <c r="D167" s="0" t="str">
        <f aca="false">'Raw Data'!F167</f>
        <v>NO2</v>
      </c>
      <c r="E167" s="6" t="n">
        <f aca="false">'Raw Data'!H167</f>
        <v>37.1</v>
      </c>
      <c r="F167" s="7" t="n">
        <f aca="false">IF(D167="NO2",40,18)</f>
        <v>40</v>
      </c>
      <c r="G167" s="8" t="n">
        <f aca="false">E167/F167</f>
        <v>0.9275</v>
      </c>
      <c r="H167" s="0" t="str">
        <f aca="false">IF(E167&gt;F167,"Exceedance",IF(E167&gt;=F167*0.9,"Watch","Compliant"))</f>
        <v>Watch</v>
      </c>
    </row>
    <row r="168" customFormat="false" ht="15" hidden="false" customHeight="false" outlineLevel="0" collapsed="false">
      <c r="A168" s="0" t="str">
        <f aca="false">'Raw Data'!C168</f>
        <v>2023-09</v>
      </c>
      <c r="B168" s="0" t="str">
        <f aca="false">'Raw Data'!D168</f>
        <v>Hope Street (kerbside)</v>
      </c>
      <c r="C168" s="0" t="str">
        <f aca="false">'Raw Data'!E168</f>
        <v>City Centre</v>
      </c>
      <c r="D168" s="0" t="str">
        <f aca="false">'Raw Data'!F168</f>
        <v>PM10</v>
      </c>
      <c r="E168" s="6" t="n">
        <f aca="false">'Raw Data'!H168</f>
        <v>17.9</v>
      </c>
      <c r="F168" s="7" t="n">
        <f aca="false">IF(D168="NO2",40,18)</f>
        <v>18</v>
      </c>
      <c r="G168" s="8" t="n">
        <f aca="false">E168/F168</f>
        <v>0.994444444444444</v>
      </c>
      <c r="H168" s="0" t="str">
        <f aca="false">IF(E168&gt;F168,"Exceedance",IF(E168&gt;=F168*0.9,"Watch","Compliant"))</f>
        <v>Watch</v>
      </c>
    </row>
    <row r="169" customFormat="false" ht="15" hidden="false" customHeight="false" outlineLevel="0" collapsed="false">
      <c r="A169" s="0" t="str">
        <f aca="false">'Raw Data'!C169</f>
        <v>2023-09</v>
      </c>
      <c r="B169" s="0" t="str">
        <f aca="false">'Raw Data'!D169</f>
        <v>Townhead</v>
      </c>
      <c r="C169" s="0" t="str">
        <f aca="false">'Raw Data'!E169</f>
        <v>City Centre</v>
      </c>
      <c r="D169" s="0" t="str">
        <f aca="false">'Raw Data'!F169</f>
        <v>PM10</v>
      </c>
      <c r="E169" s="6" t="n">
        <f aca="false">'Raw Data'!H169</f>
        <v>15.3</v>
      </c>
      <c r="F169" s="7" t="n">
        <f aca="false">IF(D169="NO2",40,18)</f>
        <v>18</v>
      </c>
      <c r="G169" s="8" t="n">
        <f aca="false">E169/F169</f>
        <v>0.85</v>
      </c>
      <c r="H169" s="0" t="str">
        <f aca="false">IF(E169&gt;F169,"Exceedance",IF(E169&gt;=F169*0.9,"Watch","Compliant"))</f>
        <v>Compliant</v>
      </c>
    </row>
    <row r="170" customFormat="false" ht="15" hidden="false" customHeight="false" outlineLevel="0" collapsed="false">
      <c r="A170" s="0" t="str">
        <f aca="false">'Raw Data'!C170</f>
        <v>2023-10</v>
      </c>
      <c r="B170" s="0" t="str">
        <f aca="false">'Raw Data'!D170</f>
        <v>Hope Street (kerbside)</v>
      </c>
      <c r="C170" s="0" t="str">
        <f aca="false">'Raw Data'!E170</f>
        <v>City Centre</v>
      </c>
      <c r="D170" s="0" t="str">
        <f aca="false">'Raw Data'!F170</f>
        <v>NO2</v>
      </c>
      <c r="E170" s="6" t="n">
        <f aca="false">'Raw Data'!H170</f>
        <v>48.7</v>
      </c>
      <c r="F170" s="7" t="n">
        <f aca="false">IF(D170="NO2",40,18)</f>
        <v>40</v>
      </c>
      <c r="G170" s="8" t="n">
        <f aca="false">E170/F170</f>
        <v>1.2175</v>
      </c>
      <c r="H170" s="0" t="str">
        <f aca="false">IF(E170&gt;F170,"Exceedance",IF(E170&gt;=F170*0.9,"Watch","Compliant"))</f>
        <v>Exceedance</v>
      </c>
    </row>
    <row r="171" customFormat="false" ht="15" hidden="false" customHeight="false" outlineLevel="0" collapsed="false">
      <c r="A171" s="0" t="str">
        <f aca="false">'Raw Data'!C171</f>
        <v>2023-10</v>
      </c>
      <c r="B171" s="0" t="str">
        <f aca="false">'Raw Data'!D171</f>
        <v>North Street</v>
      </c>
      <c r="C171" s="0" t="str">
        <f aca="false">'Raw Data'!E171</f>
        <v>City Centre</v>
      </c>
      <c r="D171" s="0" t="str">
        <f aca="false">'Raw Data'!F171</f>
        <v>NO2</v>
      </c>
      <c r="E171" s="6" t="n">
        <f aca="false">'Raw Data'!H171</f>
        <v>45.3</v>
      </c>
      <c r="F171" s="7" t="n">
        <f aca="false">IF(D171="NO2",40,18)</f>
        <v>40</v>
      </c>
      <c r="G171" s="8" t="n">
        <f aca="false">E171/F171</f>
        <v>1.1325</v>
      </c>
      <c r="H171" s="0" t="str">
        <f aca="false">IF(E171&gt;F171,"Exceedance",IF(E171&gt;=F171*0.9,"Watch","Compliant"))</f>
        <v>Exceedance</v>
      </c>
    </row>
    <row r="172" customFormat="false" ht="15" hidden="false" customHeight="false" outlineLevel="0" collapsed="false">
      <c r="A172" s="0" t="str">
        <f aca="false">'Raw Data'!C172</f>
        <v>2023-10</v>
      </c>
      <c r="B172" s="0" t="str">
        <f aca="false">'Raw Data'!D172</f>
        <v>Royston Road</v>
      </c>
      <c r="C172" s="0" t="str">
        <f aca="false">'Raw Data'!E172</f>
        <v>City Centre</v>
      </c>
      <c r="D172" s="0" t="str">
        <f aca="false">'Raw Data'!F172</f>
        <v>NO2</v>
      </c>
      <c r="E172" s="6" t="n">
        <f aca="false">'Raw Data'!H172</f>
        <v>38.6</v>
      </c>
      <c r="F172" s="7" t="n">
        <f aca="false">IF(D172="NO2",40,18)</f>
        <v>40</v>
      </c>
      <c r="G172" s="8" t="n">
        <f aca="false">E172/F172</f>
        <v>0.965</v>
      </c>
      <c r="H172" s="0" t="str">
        <f aca="false">IF(E172&gt;F172,"Exceedance",IF(E172&gt;=F172*0.9,"Watch","Compliant"))</f>
        <v>Watch</v>
      </c>
    </row>
    <row r="173" customFormat="false" ht="15" hidden="false" customHeight="false" outlineLevel="0" collapsed="false">
      <c r="A173" s="0" t="str">
        <f aca="false">'Raw Data'!C173</f>
        <v>2023-10</v>
      </c>
      <c r="B173" s="0" t="str">
        <f aca="false">'Raw Data'!D173</f>
        <v>Dumbarton Road</v>
      </c>
      <c r="C173" s="0" t="str">
        <f aca="false">'Raw Data'!E173</f>
        <v>Byres Road/Dumbarton Road</v>
      </c>
      <c r="D173" s="0" t="str">
        <f aca="false">'Raw Data'!F173</f>
        <v>NO2</v>
      </c>
      <c r="E173" s="6" t="n">
        <f aca="false">'Raw Data'!H173</f>
        <v>40</v>
      </c>
      <c r="F173" s="7" t="n">
        <f aca="false">IF(D173="NO2",40,18)</f>
        <v>40</v>
      </c>
      <c r="G173" s="8" t="n">
        <f aca="false">E173/F173</f>
        <v>1</v>
      </c>
      <c r="H173" s="0" t="str">
        <f aca="false">IF(E173&gt;F173,"Exceedance",IF(E173&gt;=F173*0.9,"Watch","Compliant"))</f>
        <v>Watch</v>
      </c>
    </row>
    <row r="174" customFormat="false" ht="15" hidden="false" customHeight="false" outlineLevel="0" collapsed="false">
      <c r="A174" s="0" t="str">
        <f aca="false">'Raw Data'!C174</f>
        <v>2023-10</v>
      </c>
      <c r="B174" s="0" t="str">
        <f aca="false">'Raw Data'!D174</f>
        <v>Byres Road</v>
      </c>
      <c r="C174" s="0" t="str">
        <f aca="false">'Raw Data'!E174</f>
        <v>Byres Road/Dumbarton Road</v>
      </c>
      <c r="D174" s="0" t="str">
        <f aca="false">'Raw Data'!F174</f>
        <v>NO2</v>
      </c>
      <c r="E174" s="6" t="n">
        <f aca="false">'Raw Data'!H174</f>
        <v>39.2</v>
      </c>
      <c r="F174" s="7" t="n">
        <f aca="false">IF(D174="NO2",40,18)</f>
        <v>40</v>
      </c>
      <c r="G174" s="8" t="n">
        <f aca="false">E174/F174</f>
        <v>0.98</v>
      </c>
      <c r="H174" s="0" t="str">
        <f aca="false">IF(E174&gt;F174,"Exceedance",IF(E174&gt;=F174*0.9,"Watch","Compliant"))</f>
        <v>Watch</v>
      </c>
    </row>
    <row r="175" customFormat="false" ht="15" hidden="false" customHeight="false" outlineLevel="0" collapsed="false">
      <c r="A175" s="0" t="str">
        <f aca="false">'Raw Data'!C175</f>
        <v>2023-10</v>
      </c>
      <c r="B175" s="0" t="str">
        <f aca="false">'Raw Data'!D175</f>
        <v>Parkhead Cross</v>
      </c>
      <c r="C175" s="0" t="str">
        <f aca="false">'Raw Data'!E175</f>
        <v>Parkhead Cross</v>
      </c>
      <c r="D175" s="0" t="str">
        <f aca="false">'Raw Data'!F175</f>
        <v>NO2</v>
      </c>
      <c r="E175" s="6" t="n">
        <f aca="false">'Raw Data'!H175</f>
        <v>39.6</v>
      </c>
      <c r="F175" s="7" t="n">
        <f aca="false">IF(D175="NO2",40,18)</f>
        <v>40</v>
      </c>
      <c r="G175" s="8" t="n">
        <f aca="false">E175/F175</f>
        <v>0.99</v>
      </c>
      <c r="H175" s="0" t="str">
        <f aca="false">IF(E175&gt;F175,"Exceedance",IF(E175&gt;=F175*0.9,"Watch","Compliant"))</f>
        <v>Watch</v>
      </c>
    </row>
    <row r="176" customFormat="false" ht="15" hidden="false" customHeight="false" outlineLevel="0" collapsed="false">
      <c r="A176" s="0" t="str">
        <f aca="false">'Raw Data'!C176</f>
        <v>2023-10</v>
      </c>
      <c r="B176" s="0" t="str">
        <f aca="false">'Raw Data'!D176</f>
        <v>Hope Street (kerbside)</v>
      </c>
      <c r="C176" s="0" t="str">
        <f aca="false">'Raw Data'!E176</f>
        <v>City Centre</v>
      </c>
      <c r="D176" s="0" t="str">
        <f aca="false">'Raw Data'!F176</f>
        <v>PM10</v>
      </c>
      <c r="E176" s="6" t="n">
        <f aca="false">'Raw Data'!H176</f>
        <v>19.1</v>
      </c>
      <c r="F176" s="7" t="n">
        <f aca="false">IF(D176="NO2",40,18)</f>
        <v>18</v>
      </c>
      <c r="G176" s="8" t="n">
        <f aca="false">E176/F176</f>
        <v>1.06111111111111</v>
      </c>
      <c r="H176" s="0" t="str">
        <f aca="false">IF(E176&gt;F176,"Exceedance",IF(E176&gt;=F176*0.9,"Watch","Compliant"))</f>
        <v>Exceedance</v>
      </c>
    </row>
    <row r="177" customFormat="false" ht="15" hidden="false" customHeight="false" outlineLevel="0" collapsed="false">
      <c r="A177" s="0" t="str">
        <f aca="false">'Raw Data'!C177</f>
        <v>2023-10</v>
      </c>
      <c r="B177" s="0" t="str">
        <f aca="false">'Raw Data'!D177</f>
        <v>Townhead</v>
      </c>
      <c r="C177" s="0" t="str">
        <f aca="false">'Raw Data'!E177</f>
        <v>City Centre</v>
      </c>
      <c r="D177" s="0" t="str">
        <f aca="false">'Raw Data'!F177</f>
        <v>PM10</v>
      </c>
      <c r="E177" s="6" t="n">
        <f aca="false">'Raw Data'!H177</f>
        <v>15.8</v>
      </c>
      <c r="F177" s="7" t="n">
        <f aca="false">IF(D177="NO2",40,18)</f>
        <v>18</v>
      </c>
      <c r="G177" s="8" t="n">
        <f aca="false">E177/F177</f>
        <v>0.877777777777778</v>
      </c>
      <c r="H177" s="0" t="str">
        <f aca="false">IF(E177&gt;F177,"Exceedance",IF(E177&gt;=F177*0.9,"Watch","Compliant"))</f>
        <v>Compliant</v>
      </c>
    </row>
    <row r="178" customFormat="false" ht="15" hidden="false" customHeight="false" outlineLevel="0" collapsed="false">
      <c r="A178" s="0" t="str">
        <f aca="false">'Raw Data'!C178</f>
        <v>2023-11</v>
      </c>
      <c r="B178" s="0" t="str">
        <f aca="false">'Raw Data'!D178</f>
        <v>Hope Street (kerbside)</v>
      </c>
      <c r="C178" s="0" t="str">
        <f aca="false">'Raw Data'!E178</f>
        <v>City Centre</v>
      </c>
      <c r="D178" s="0" t="str">
        <f aca="false">'Raw Data'!F178</f>
        <v>NO2</v>
      </c>
      <c r="E178" s="6" t="n">
        <f aca="false">'Raw Data'!H178</f>
        <v>54.3</v>
      </c>
      <c r="F178" s="7" t="n">
        <f aca="false">IF(D178="NO2",40,18)</f>
        <v>40</v>
      </c>
      <c r="G178" s="8" t="n">
        <f aca="false">E178/F178</f>
        <v>1.3575</v>
      </c>
      <c r="H178" s="0" t="str">
        <f aca="false">IF(E178&gt;F178,"Exceedance",IF(E178&gt;=F178*0.9,"Watch","Compliant"))</f>
        <v>Exceedance</v>
      </c>
    </row>
    <row r="179" customFormat="false" ht="15" hidden="false" customHeight="false" outlineLevel="0" collapsed="false">
      <c r="A179" s="0" t="str">
        <f aca="false">'Raw Data'!C179</f>
        <v>2023-11</v>
      </c>
      <c r="B179" s="0" t="str">
        <f aca="false">'Raw Data'!D179</f>
        <v>North Street</v>
      </c>
      <c r="C179" s="0" t="str">
        <f aca="false">'Raw Data'!E179</f>
        <v>City Centre</v>
      </c>
      <c r="D179" s="0" t="str">
        <f aca="false">'Raw Data'!F179</f>
        <v>NO2</v>
      </c>
      <c r="E179" s="6" t="n">
        <f aca="false">'Raw Data'!H179</f>
        <v>46.5</v>
      </c>
      <c r="F179" s="7" t="n">
        <f aca="false">IF(D179="NO2",40,18)</f>
        <v>40</v>
      </c>
      <c r="G179" s="8" t="n">
        <f aca="false">E179/F179</f>
        <v>1.1625</v>
      </c>
      <c r="H179" s="0" t="str">
        <f aca="false">IF(E179&gt;F179,"Exceedance",IF(E179&gt;=F179*0.9,"Watch","Compliant"))</f>
        <v>Exceedance</v>
      </c>
    </row>
    <row r="180" customFormat="false" ht="15" hidden="false" customHeight="false" outlineLevel="0" collapsed="false">
      <c r="A180" s="0" t="str">
        <f aca="false">'Raw Data'!C180</f>
        <v>2023-11</v>
      </c>
      <c r="B180" s="0" t="str">
        <f aca="false">'Raw Data'!D180</f>
        <v>Royston Road</v>
      </c>
      <c r="C180" s="0" t="str">
        <f aca="false">'Raw Data'!E180</f>
        <v>City Centre</v>
      </c>
      <c r="D180" s="0" t="str">
        <f aca="false">'Raw Data'!F180</f>
        <v>NO2</v>
      </c>
      <c r="E180" s="6" t="n">
        <f aca="false">'Raw Data'!H180</f>
        <v>43.6</v>
      </c>
      <c r="F180" s="7" t="n">
        <f aca="false">IF(D180="NO2",40,18)</f>
        <v>40</v>
      </c>
      <c r="G180" s="8" t="n">
        <f aca="false">E180/F180</f>
        <v>1.09</v>
      </c>
      <c r="H180" s="0" t="str">
        <f aca="false">IF(E180&gt;F180,"Exceedance",IF(E180&gt;=F180*0.9,"Watch","Compliant"))</f>
        <v>Exceedance</v>
      </c>
    </row>
    <row r="181" customFormat="false" ht="15" hidden="false" customHeight="false" outlineLevel="0" collapsed="false">
      <c r="A181" s="0" t="str">
        <f aca="false">'Raw Data'!C181</f>
        <v>2023-11</v>
      </c>
      <c r="B181" s="0" t="str">
        <f aca="false">'Raw Data'!D181</f>
        <v>Dumbarton Road</v>
      </c>
      <c r="C181" s="0" t="str">
        <f aca="false">'Raw Data'!E181</f>
        <v>Byres Road/Dumbarton Road</v>
      </c>
      <c r="D181" s="0" t="str">
        <f aca="false">'Raw Data'!F181</f>
        <v>NO2</v>
      </c>
      <c r="E181" s="6" t="n">
        <f aca="false">'Raw Data'!H181</f>
        <v>43.6</v>
      </c>
      <c r="F181" s="7" t="n">
        <f aca="false">IF(D181="NO2",40,18)</f>
        <v>40</v>
      </c>
      <c r="G181" s="8" t="n">
        <f aca="false">E181/F181</f>
        <v>1.09</v>
      </c>
      <c r="H181" s="0" t="str">
        <f aca="false">IF(E181&gt;F181,"Exceedance",IF(E181&gt;=F181*0.9,"Watch","Compliant"))</f>
        <v>Exceedance</v>
      </c>
    </row>
    <row r="182" customFormat="false" ht="15" hidden="false" customHeight="false" outlineLevel="0" collapsed="false">
      <c r="A182" s="0" t="str">
        <f aca="false">'Raw Data'!C182</f>
        <v>2023-11</v>
      </c>
      <c r="B182" s="0" t="str">
        <f aca="false">'Raw Data'!D182</f>
        <v>Byres Road</v>
      </c>
      <c r="C182" s="0" t="str">
        <f aca="false">'Raw Data'!E182</f>
        <v>Byres Road/Dumbarton Road</v>
      </c>
      <c r="D182" s="0" t="str">
        <f aca="false">'Raw Data'!F182</f>
        <v>NO2</v>
      </c>
      <c r="E182" s="6" t="n">
        <f aca="false">'Raw Data'!H182</f>
        <v>40.2</v>
      </c>
      <c r="F182" s="7" t="n">
        <f aca="false">IF(D182="NO2",40,18)</f>
        <v>40</v>
      </c>
      <c r="G182" s="8" t="n">
        <f aca="false">E182/F182</f>
        <v>1.005</v>
      </c>
      <c r="H182" s="0" t="str">
        <f aca="false">IF(E182&gt;F182,"Exceedance",IF(E182&gt;=F182*0.9,"Watch","Compliant"))</f>
        <v>Exceedance</v>
      </c>
    </row>
    <row r="183" customFormat="false" ht="15" hidden="false" customHeight="false" outlineLevel="0" collapsed="false">
      <c r="A183" s="0" t="str">
        <f aca="false">'Raw Data'!C183</f>
        <v>2023-11</v>
      </c>
      <c r="B183" s="0" t="str">
        <f aca="false">'Raw Data'!D183</f>
        <v>Parkhead Cross</v>
      </c>
      <c r="C183" s="0" t="str">
        <f aca="false">'Raw Data'!E183</f>
        <v>Parkhead Cross</v>
      </c>
      <c r="D183" s="0" t="str">
        <f aca="false">'Raw Data'!F183</f>
        <v>NO2</v>
      </c>
      <c r="E183" s="6" t="n">
        <f aca="false">'Raw Data'!H183</f>
        <v>44.5</v>
      </c>
      <c r="F183" s="7" t="n">
        <f aca="false">IF(D183="NO2",40,18)</f>
        <v>40</v>
      </c>
      <c r="G183" s="8" t="n">
        <f aca="false">E183/F183</f>
        <v>1.1125</v>
      </c>
      <c r="H183" s="0" t="str">
        <f aca="false">IF(E183&gt;F183,"Exceedance",IF(E183&gt;=F183*0.9,"Watch","Compliant"))</f>
        <v>Exceedance</v>
      </c>
    </row>
    <row r="184" customFormat="false" ht="15" hidden="false" customHeight="false" outlineLevel="0" collapsed="false">
      <c r="A184" s="0" t="str">
        <f aca="false">'Raw Data'!C184</f>
        <v>2023-11</v>
      </c>
      <c r="B184" s="0" t="str">
        <f aca="false">'Raw Data'!D184</f>
        <v>Hope Street (kerbside)</v>
      </c>
      <c r="C184" s="0" t="str">
        <f aca="false">'Raw Data'!E184</f>
        <v>City Centre</v>
      </c>
      <c r="D184" s="0" t="str">
        <f aca="false">'Raw Data'!F184</f>
        <v>PM10</v>
      </c>
      <c r="E184" s="6" t="n">
        <f aca="false">'Raw Data'!H184</f>
        <v>20</v>
      </c>
      <c r="F184" s="7" t="n">
        <f aca="false">IF(D184="NO2",40,18)</f>
        <v>18</v>
      </c>
      <c r="G184" s="8" t="n">
        <f aca="false">E184/F184</f>
        <v>1.11111111111111</v>
      </c>
      <c r="H184" s="0" t="str">
        <f aca="false">IF(E184&gt;F184,"Exceedance",IF(E184&gt;=F184*0.9,"Watch","Compliant"))</f>
        <v>Exceedance</v>
      </c>
    </row>
    <row r="185" customFormat="false" ht="15" hidden="false" customHeight="false" outlineLevel="0" collapsed="false">
      <c r="A185" s="0" t="str">
        <f aca="false">'Raw Data'!C185</f>
        <v>2023-11</v>
      </c>
      <c r="B185" s="0" t="str">
        <f aca="false">'Raw Data'!D185</f>
        <v>Townhead</v>
      </c>
      <c r="C185" s="0" t="str">
        <f aca="false">'Raw Data'!E185</f>
        <v>City Centre</v>
      </c>
      <c r="D185" s="0" t="str">
        <f aca="false">'Raw Data'!F185</f>
        <v>PM10</v>
      </c>
      <c r="E185" s="6" t="n">
        <f aca="false">'Raw Data'!H185</f>
        <v>17.6</v>
      </c>
      <c r="F185" s="7" t="n">
        <f aca="false">IF(D185="NO2",40,18)</f>
        <v>18</v>
      </c>
      <c r="G185" s="8" t="n">
        <f aca="false">E185/F185</f>
        <v>0.977777777777778</v>
      </c>
      <c r="H185" s="0" t="str">
        <f aca="false">IF(E185&gt;F185,"Exceedance",IF(E185&gt;=F185*0.9,"Watch","Compliant"))</f>
        <v>Watch</v>
      </c>
    </row>
    <row r="186" customFormat="false" ht="15" hidden="false" customHeight="false" outlineLevel="0" collapsed="false">
      <c r="A186" s="0" t="str">
        <f aca="false">'Raw Data'!C186</f>
        <v>2023-12</v>
      </c>
      <c r="B186" s="0" t="str">
        <f aca="false">'Raw Data'!D186</f>
        <v>Hope Street (kerbside)</v>
      </c>
      <c r="C186" s="0" t="str">
        <f aca="false">'Raw Data'!E186</f>
        <v>City Centre</v>
      </c>
      <c r="D186" s="0" t="str">
        <f aca="false">'Raw Data'!F186</f>
        <v>NO2</v>
      </c>
      <c r="E186" s="6" t="n">
        <f aca="false">'Raw Data'!H186</f>
        <v>57.8</v>
      </c>
      <c r="F186" s="7" t="n">
        <f aca="false">IF(D186="NO2",40,18)</f>
        <v>40</v>
      </c>
      <c r="G186" s="8" t="n">
        <f aca="false">E186/F186</f>
        <v>1.445</v>
      </c>
      <c r="H186" s="0" t="str">
        <f aca="false">IF(E186&gt;F186,"Exceedance",IF(E186&gt;=F186*0.9,"Watch","Compliant"))</f>
        <v>Exceedance</v>
      </c>
    </row>
    <row r="187" customFormat="false" ht="15" hidden="false" customHeight="false" outlineLevel="0" collapsed="false">
      <c r="A187" s="0" t="str">
        <f aca="false">'Raw Data'!C187</f>
        <v>2023-12</v>
      </c>
      <c r="B187" s="0" t="str">
        <f aca="false">'Raw Data'!D187</f>
        <v>North Street</v>
      </c>
      <c r="C187" s="0" t="str">
        <f aca="false">'Raw Data'!E187</f>
        <v>City Centre</v>
      </c>
      <c r="D187" s="0" t="str">
        <f aca="false">'Raw Data'!F187</f>
        <v>NO2</v>
      </c>
      <c r="E187" s="6" t="n">
        <f aca="false">'Raw Data'!H187</f>
        <v>53.9</v>
      </c>
      <c r="F187" s="7" t="n">
        <f aca="false">IF(D187="NO2",40,18)</f>
        <v>40</v>
      </c>
      <c r="G187" s="8" t="n">
        <f aca="false">E187/F187</f>
        <v>1.3475</v>
      </c>
      <c r="H187" s="0" t="str">
        <f aca="false">IF(E187&gt;F187,"Exceedance",IF(E187&gt;=F187*0.9,"Watch","Compliant"))</f>
        <v>Exceedance</v>
      </c>
    </row>
    <row r="188" customFormat="false" ht="15" hidden="false" customHeight="false" outlineLevel="0" collapsed="false">
      <c r="A188" s="0" t="str">
        <f aca="false">'Raw Data'!C188</f>
        <v>2023-12</v>
      </c>
      <c r="B188" s="0" t="str">
        <f aca="false">'Raw Data'!D188</f>
        <v>Royston Road</v>
      </c>
      <c r="C188" s="0" t="str">
        <f aca="false">'Raw Data'!E188</f>
        <v>City Centre</v>
      </c>
      <c r="D188" s="0" t="str">
        <f aca="false">'Raw Data'!F188</f>
        <v>NO2</v>
      </c>
      <c r="E188" s="6" t="n">
        <f aca="false">'Raw Data'!H188</f>
        <v>43.8</v>
      </c>
      <c r="F188" s="7" t="n">
        <f aca="false">IF(D188="NO2",40,18)</f>
        <v>40</v>
      </c>
      <c r="G188" s="8" t="n">
        <f aca="false">E188/F188</f>
        <v>1.095</v>
      </c>
      <c r="H188" s="0" t="str">
        <f aca="false">IF(E188&gt;F188,"Exceedance",IF(E188&gt;=F188*0.9,"Watch","Compliant"))</f>
        <v>Exceedance</v>
      </c>
    </row>
    <row r="189" customFormat="false" ht="15" hidden="false" customHeight="false" outlineLevel="0" collapsed="false">
      <c r="A189" s="0" t="str">
        <f aca="false">'Raw Data'!C189</f>
        <v>2023-12</v>
      </c>
      <c r="B189" s="0" t="str">
        <f aca="false">'Raw Data'!D189</f>
        <v>Dumbarton Road</v>
      </c>
      <c r="C189" s="0" t="str">
        <f aca="false">'Raw Data'!E189</f>
        <v>Byres Road/Dumbarton Road</v>
      </c>
      <c r="D189" s="0" t="str">
        <f aca="false">'Raw Data'!F189</f>
        <v>NO2</v>
      </c>
      <c r="E189" s="6" t="n">
        <f aca="false">'Raw Data'!H189</f>
        <v>46.6</v>
      </c>
      <c r="F189" s="7" t="n">
        <f aca="false">IF(D189="NO2",40,18)</f>
        <v>40</v>
      </c>
      <c r="G189" s="8" t="n">
        <f aca="false">E189/F189</f>
        <v>1.165</v>
      </c>
      <c r="H189" s="0" t="str">
        <f aca="false">IF(E189&gt;F189,"Exceedance",IF(E189&gt;=F189*0.9,"Watch","Compliant"))</f>
        <v>Exceedance</v>
      </c>
    </row>
    <row r="190" customFormat="false" ht="15" hidden="false" customHeight="false" outlineLevel="0" collapsed="false">
      <c r="A190" s="0" t="str">
        <f aca="false">'Raw Data'!C190</f>
        <v>2023-12</v>
      </c>
      <c r="B190" s="0" t="str">
        <f aca="false">'Raw Data'!D190</f>
        <v>Byres Road</v>
      </c>
      <c r="C190" s="0" t="str">
        <f aca="false">'Raw Data'!E190</f>
        <v>Byres Road/Dumbarton Road</v>
      </c>
      <c r="D190" s="0" t="str">
        <f aca="false">'Raw Data'!F190</f>
        <v>NO2</v>
      </c>
      <c r="E190" s="6" t="n">
        <f aca="false">'Raw Data'!H190</f>
        <v>42.5</v>
      </c>
      <c r="F190" s="7" t="n">
        <f aca="false">IF(D190="NO2",40,18)</f>
        <v>40</v>
      </c>
      <c r="G190" s="8" t="n">
        <f aca="false">E190/F190</f>
        <v>1.0625</v>
      </c>
      <c r="H190" s="0" t="str">
        <f aca="false">IF(E190&gt;F190,"Exceedance",IF(E190&gt;=F190*0.9,"Watch","Compliant"))</f>
        <v>Exceedance</v>
      </c>
    </row>
    <row r="191" customFormat="false" ht="15" hidden="false" customHeight="false" outlineLevel="0" collapsed="false">
      <c r="A191" s="0" t="str">
        <f aca="false">'Raw Data'!C191</f>
        <v>2023-12</v>
      </c>
      <c r="B191" s="0" t="str">
        <f aca="false">'Raw Data'!D191</f>
        <v>Parkhead Cross</v>
      </c>
      <c r="C191" s="0" t="str">
        <f aca="false">'Raw Data'!E191</f>
        <v>Parkhead Cross</v>
      </c>
      <c r="D191" s="0" t="str">
        <f aca="false">'Raw Data'!F191</f>
        <v>NO2</v>
      </c>
      <c r="E191" s="6" t="n">
        <f aca="false">'Raw Data'!H191</f>
        <v>48.9</v>
      </c>
      <c r="F191" s="7" t="n">
        <f aca="false">IF(D191="NO2",40,18)</f>
        <v>40</v>
      </c>
      <c r="G191" s="8" t="n">
        <f aca="false">E191/F191</f>
        <v>1.2225</v>
      </c>
      <c r="H191" s="0" t="str">
        <f aca="false">IF(E191&gt;F191,"Exceedance",IF(E191&gt;=F191*0.9,"Watch","Compliant"))</f>
        <v>Exceedance</v>
      </c>
    </row>
    <row r="192" customFormat="false" ht="15" hidden="false" customHeight="false" outlineLevel="0" collapsed="false">
      <c r="A192" s="0" t="str">
        <f aca="false">'Raw Data'!C192</f>
        <v>2023-12</v>
      </c>
      <c r="B192" s="0" t="str">
        <f aca="false">'Raw Data'!D192</f>
        <v>Hope Street (kerbside)</v>
      </c>
      <c r="C192" s="0" t="str">
        <f aca="false">'Raw Data'!E192</f>
        <v>City Centre</v>
      </c>
      <c r="D192" s="0" t="str">
        <f aca="false">'Raw Data'!F192</f>
        <v>PM10</v>
      </c>
      <c r="E192" s="6" t="n">
        <f aca="false">'Raw Data'!H192</f>
        <v>22.7</v>
      </c>
      <c r="F192" s="7" t="n">
        <f aca="false">IF(D192="NO2",40,18)</f>
        <v>18</v>
      </c>
      <c r="G192" s="8" t="n">
        <f aca="false">E192/F192</f>
        <v>1.26111111111111</v>
      </c>
      <c r="H192" s="0" t="str">
        <f aca="false">IF(E192&gt;F192,"Exceedance",IF(E192&gt;=F192*0.9,"Watch","Compliant"))</f>
        <v>Exceedance</v>
      </c>
    </row>
    <row r="193" customFormat="false" ht="15" hidden="false" customHeight="false" outlineLevel="0" collapsed="false">
      <c r="A193" s="0" t="str">
        <f aca="false">'Raw Data'!C193</f>
        <v>2023-12</v>
      </c>
      <c r="B193" s="0" t="str">
        <f aca="false">'Raw Data'!D193</f>
        <v>Townhead</v>
      </c>
      <c r="C193" s="0" t="str">
        <f aca="false">'Raw Data'!E193</f>
        <v>City Centre</v>
      </c>
      <c r="D193" s="0" t="str">
        <f aca="false">'Raw Data'!F193</f>
        <v>PM10</v>
      </c>
      <c r="E193" s="6" t="n">
        <f aca="false">'Raw Data'!H193</f>
        <v>18.2</v>
      </c>
      <c r="F193" s="7" t="n">
        <f aca="false">IF(D193="NO2",40,18)</f>
        <v>18</v>
      </c>
      <c r="G193" s="8" t="n">
        <f aca="false">E193/F193</f>
        <v>1.01111111111111</v>
      </c>
      <c r="H193" s="0" t="str">
        <f aca="false">IF(E193&gt;F193,"Exceedance",IF(E193&gt;=F193*0.9,"Watch","Compliant"))</f>
        <v>Exceedance</v>
      </c>
    </row>
    <row r="194" customFormat="false" ht="15" hidden="false" customHeight="false" outlineLevel="0" collapsed="false">
      <c r="A194" s="0" t="str">
        <f aca="false">'Raw Data'!C194</f>
        <v>2024-01</v>
      </c>
      <c r="B194" s="0" t="str">
        <f aca="false">'Raw Data'!D194</f>
        <v>Hope Street (kerbside)</v>
      </c>
      <c r="C194" s="0" t="str">
        <f aca="false">'Raw Data'!E194</f>
        <v>City Centre</v>
      </c>
      <c r="D194" s="0" t="str">
        <f aca="false">'Raw Data'!F194</f>
        <v>NO2</v>
      </c>
      <c r="E194" s="6" t="n">
        <f aca="false">'Raw Data'!H194</f>
        <v>41.8</v>
      </c>
      <c r="F194" s="7" t="n">
        <f aca="false">IF(D194="NO2",40,18)</f>
        <v>40</v>
      </c>
      <c r="G194" s="8" t="n">
        <f aca="false">E194/F194</f>
        <v>1.045</v>
      </c>
      <c r="H194" s="0" t="str">
        <f aca="false">IF(E194&gt;F194,"Exceedance",IF(E194&gt;=F194*0.9,"Watch","Compliant"))</f>
        <v>Exceedance</v>
      </c>
    </row>
    <row r="195" customFormat="false" ht="15" hidden="false" customHeight="false" outlineLevel="0" collapsed="false">
      <c r="A195" s="0" t="str">
        <f aca="false">'Raw Data'!C195</f>
        <v>2024-01</v>
      </c>
      <c r="B195" s="0" t="str">
        <f aca="false">'Raw Data'!D195</f>
        <v>North Street</v>
      </c>
      <c r="C195" s="0" t="str">
        <f aca="false">'Raw Data'!E195</f>
        <v>City Centre</v>
      </c>
      <c r="D195" s="0" t="str">
        <f aca="false">'Raw Data'!F195</f>
        <v>NO2</v>
      </c>
      <c r="E195" s="6" t="n">
        <f aca="false">'Raw Data'!H195</f>
        <v>36.2</v>
      </c>
      <c r="F195" s="7" t="n">
        <f aca="false">IF(D195="NO2",40,18)</f>
        <v>40</v>
      </c>
      <c r="G195" s="8" t="n">
        <f aca="false">E195/F195</f>
        <v>0.905</v>
      </c>
      <c r="H195" s="0" t="str">
        <f aca="false">IF(E195&gt;F195,"Exceedance",IF(E195&gt;=F195*0.9,"Watch","Compliant"))</f>
        <v>Watch</v>
      </c>
    </row>
    <row r="196" customFormat="false" ht="15" hidden="false" customHeight="false" outlineLevel="0" collapsed="false">
      <c r="A196" s="0" t="str">
        <f aca="false">'Raw Data'!C196</f>
        <v>2024-01</v>
      </c>
      <c r="B196" s="0" t="str">
        <f aca="false">'Raw Data'!D196</f>
        <v>Royston Road</v>
      </c>
      <c r="C196" s="0" t="str">
        <f aca="false">'Raw Data'!E196</f>
        <v>City Centre</v>
      </c>
      <c r="D196" s="0" t="str">
        <f aca="false">'Raw Data'!F196</f>
        <v>NO2</v>
      </c>
      <c r="E196" s="6" t="n">
        <f aca="false">'Raw Data'!H196</f>
        <v>33.5</v>
      </c>
      <c r="F196" s="7" t="n">
        <f aca="false">IF(D196="NO2",40,18)</f>
        <v>40</v>
      </c>
      <c r="G196" s="8" t="n">
        <f aca="false">E196/F196</f>
        <v>0.8375</v>
      </c>
      <c r="H196" s="0" t="str">
        <f aca="false">IF(E196&gt;F196,"Exceedance",IF(E196&gt;=F196*0.9,"Watch","Compliant"))</f>
        <v>Compliant</v>
      </c>
    </row>
    <row r="197" customFormat="false" ht="15" hidden="false" customHeight="false" outlineLevel="0" collapsed="false">
      <c r="A197" s="0" t="str">
        <f aca="false">'Raw Data'!C197</f>
        <v>2024-01</v>
      </c>
      <c r="B197" s="0" t="str">
        <f aca="false">'Raw Data'!D197</f>
        <v>Dumbarton Road</v>
      </c>
      <c r="C197" s="0" t="str">
        <f aca="false">'Raw Data'!E197</f>
        <v>Byres Road/Dumbarton Road</v>
      </c>
      <c r="D197" s="0" t="str">
        <f aca="false">'Raw Data'!F197</f>
        <v>NO2</v>
      </c>
      <c r="E197" s="6" t="n">
        <f aca="false">'Raw Data'!H197</f>
        <v>34</v>
      </c>
      <c r="F197" s="7" t="n">
        <f aca="false">IF(D197="NO2",40,18)</f>
        <v>40</v>
      </c>
      <c r="G197" s="8" t="n">
        <f aca="false">E197/F197</f>
        <v>0.85</v>
      </c>
      <c r="H197" s="0" t="str">
        <f aca="false">IF(E197&gt;F197,"Exceedance",IF(E197&gt;=F197*0.9,"Watch","Compliant"))</f>
        <v>Compliant</v>
      </c>
    </row>
    <row r="198" customFormat="false" ht="15" hidden="false" customHeight="false" outlineLevel="0" collapsed="false">
      <c r="A198" s="0" t="str">
        <f aca="false">'Raw Data'!C198</f>
        <v>2024-01</v>
      </c>
      <c r="B198" s="0" t="str">
        <f aca="false">'Raw Data'!D198</f>
        <v>Byres Road</v>
      </c>
      <c r="C198" s="0" t="str">
        <f aca="false">'Raw Data'!E198</f>
        <v>Byres Road/Dumbarton Road</v>
      </c>
      <c r="D198" s="0" t="str">
        <f aca="false">'Raw Data'!F198</f>
        <v>NO2</v>
      </c>
      <c r="E198" s="6" t="n">
        <f aca="false">'Raw Data'!H198</f>
        <v>28.9</v>
      </c>
      <c r="F198" s="7" t="n">
        <f aca="false">IF(D198="NO2",40,18)</f>
        <v>40</v>
      </c>
      <c r="G198" s="8" t="n">
        <f aca="false">E198/F198</f>
        <v>0.7225</v>
      </c>
      <c r="H198" s="0" t="str">
        <f aca="false">IF(E198&gt;F198,"Exceedance",IF(E198&gt;=F198*0.9,"Watch","Compliant"))</f>
        <v>Compliant</v>
      </c>
    </row>
    <row r="199" customFormat="false" ht="15" hidden="false" customHeight="false" outlineLevel="0" collapsed="false">
      <c r="A199" s="0" t="str">
        <f aca="false">'Raw Data'!C199</f>
        <v>2024-01</v>
      </c>
      <c r="B199" s="0" t="str">
        <f aca="false">'Raw Data'!D199</f>
        <v>Parkhead Cross</v>
      </c>
      <c r="C199" s="0" t="str">
        <f aca="false">'Raw Data'!E199</f>
        <v>Parkhead Cross</v>
      </c>
      <c r="D199" s="0" t="str">
        <f aca="false">'Raw Data'!F199</f>
        <v>NO2</v>
      </c>
      <c r="E199" s="6" t="n">
        <f aca="false">'Raw Data'!H199</f>
        <v>33.7</v>
      </c>
      <c r="F199" s="7" t="n">
        <f aca="false">IF(D199="NO2",40,18)</f>
        <v>40</v>
      </c>
      <c r="G199" s="8" t="n">
        <f aca="false">E199/F199</f>
        <v>0.8425</v>
      </c>
      <c r="H199" s="0" t="str">
        <f aca="false">IF(E199&gt;F199,"Exceedance",IF(E199&gt;=F199*0.9,"Watch","Compliant"))</f>
        <v>Compliant</v>
      </c>
    </row>
    <row r="200" customFormat="false" ht="15" hidden="false" customHeight="false" outlineLevel="0" collapsed="false">
      <c r="A200" s="0" t="str">
        <f aca="false">'Raw Data'!C200</f>
        <v>2024-01</v>
      </c>
      <c r="B200" s="0" t="str">
        <f aca="false">'Raw Data'!D200</f>
        <v>Hope Street (kerbside)</v>
      </c>
      <c r="C200" s="0" t="str">
        <f aca="false">'Raw Data'!E200</f>
        <v>City Centre</v>
      </c>
      <c r="D200" s="0" t="str">
        <f aca="false">'Raw Data'!F200</f>
        <v>PM10</v>
      </c>
      <c r="E200" s="6" t="n">
        <f aca="false">'Raw Data'!H200</f>
        <v>19.8</v>
      </c>
      <c r="F200" s="7" t="n">
        <f aca="false">IF(D200="NO2",40,18)</f>
        <v>18</v>
      </c>
      <c r="G200" s="8" t="n">
        <f aca="false">E200/F200</f>
        <v>1.1</v>
      </c>
      <c r="H200" s="0" t="str">
        <f aca="false">IF(E200&gt;F200,"Exceedance",IF(E200&gt;=F200*0.9,"Watch","Compliant"))</f>
        <v>Exceedance</v>
      </c>
    </row>
    <row r="201" customFormat="false" ht="15" hidden="false" customHeight="false" outlineLevel="0" collapsed="false">
      <c r="A201" s="0" t="str">
        <f aca="false">'Raw Data'!C201</f>
        <v>2024-01</v>
      </c>
      <c r="B201" s="0" t="str">
        <f aca="false">'Raw Data'!D201</f>
        <v>Townhead</v>
      </c>
      <c r="C201" s="0" t="str">
        <f aca="false">'Raw Data'!E201</f>
        <v>City Centre</v>
      </c>
      <c r="D201" s="0" t="str">
        <f aca="false">'Raw Data'!F201</f>
        <v>PM10</v>
      </c>
      <c r="E201" s="6" t="n">
        <f aca="false">'Raw Data'!H201</f>
        <v>17.7</v>
      </c>
      <c r="F201" s="7" t="n">
        <f aca="false">IF(D201="NO2",40,18)</f>
        <v>18</v>
      </c>
      <c r="G201" s="8" t="n">
        <f aca="false">E201/F201</f>
        <v>0.983333333333333</v>
      </c>
      <c r="H201" s="0" t="str">
        <f aca="false">IF(E201&gt;F201,"Exceedance",IF(E201&gt;=F201*0.9,"Watch","Compliant"))</f>
        <v>Watch</v>
      </c>
    </row>
    <row r="202" customFormat="false" ht="15" hidden="false" customHeight="false" outlineLevel="0" collapsed="false">
      <c r="A202" s="0" t="str">
        <f aca="false">'Raw Data'!C202</f>
        <v>2024-02</v>
      </c>
      <c r="B202" s="0" t="str">
        <f aca="false">'Raw Data'!D202</f>
        <v>Hope Street (kerbside)</v>
      </c>
      <c r="C202" s="0" t="str">
        <f aca="false">'Raw Data'!E202</f>
        <v>City Centre</v>
      </c>
      <c r="D202" s="0" t="str">
        <f aca="false">'Raw Data'!F202</f>
        <v>NO2</v>
      </c>
      <c r="E202" s="6" t="n">
        <f aca="false">'Raw Data'!H202</f>
        <v>37.6</v>
      </c>
      <c r="F202" s="7" t="n">
        <f aca="false">IF(D202="NO2",40,18)</f>
        <v>40</v>
      </c>
      <c r="G202" s="8" t="n">
        <f aca="false">E202/F202</f>
        <v>0.94</v>
      </c>
      <c r="H202" s="0" t="str">
        <f aca="false">IF(E202&gt;F202,"Exceedance",IF(E202&gt;=F202*0.9,"Watch","Compliant"))</f>
        <v>Watch</v>
      </c>
    </row>
    <row r="203" customFormat="false" ht="15" hidden="false" customHeight="false" outlineLevel="0" collapsed="false">
      <c r="A203" s="0" t="str">
        <f aca="false">'Raw Data'!C203</f>
        <v>2024-02</v>
      </c>
      <c r="B203" s="0" t="str">
        <f aca="false">'Raw Data'!D203</f>
        <v>North Street</v>
      </c>
      <c r="C203" s="0" t="str">
        <f aca="false">'Raw Data'!E203</f>
        <v>City Centre</v>
      </c>
      <c r="D203" s="0" t="str">
        <f aca="false">'Raw Data'!F203</f>
        <v>NO2</v>
      </c>
      <c r="E203" s="6" t="n">
        <f aca="false">'Raw Data'!H203</f>
        <v>34.8</v>
      </c>
      <c r="F203" s="7" t="n">
        <f aca="false">IF(D203="NO2",40,18)</f>
        <v>40</v>
      </c>
      <c r="G203" s="8" t="n">
        <f aca="false">E203/F203</f>
        <v>0.87</v>
      </c>
      <c r="H203" s="0" t="str">
        <f aca="false">IF(E203&gt;F203,"Exceedance",IF(E203&gt;=F203*0.9,"Watch","Compliant"))</f>
        <v>Compliant</v>
      </c>
    </row>
    <row r="204" customFormat="false" ht="15" hidden="false" customHeight="false" outlineLevel="0" collapsed="false">
      <c r="A204" s="0" t="str">
        <f aca="false">'Raw Data'!C204</f>
        <v>2024-02</v>
      </c>
      <c r="B204" s="0" t="str">
        <f aca="false">'Raw Data'!D204</f>
        <v>Royston Road</v>
      </c>
      <c r="C204" s="0" t="str">
        <f aca="false">'Raw Data'!E204</f>
        <v>City Centre</v>
      </c>
      <c r="D204" s="0" t="str">
        <f aca="false">'Raw Data'!F204</f>
        <v>NO2</v>
      </c>
      <c r="E204" s="6" t="n">
        <f aca="false">'Raw Data'!H204</f>
        <v>30.1</v>
      </c>
      <c r="F204" s="7" t="n">
        <f aca="false">IF(D204="NO2",40,18)</f>
        <v>40</v>
      </c>
      <c r="G204" s="8" t="n">
        <f aca="false">E204/F204</f>
        <v>0.7525</v>
      </c>
      <c r="H204" s="0" t="str">
        <f aca="false">IF(E204&gt;F204,"Exceedance",IF(E204&gt;=F204*0.9,"Watch","Compliant"))</f>
        <v>Compliant</v>
      </c>
    </row>
    <row r="205" customFormat="false" ht="15" hidden="false" customHeight="false" outlineLevel="0" collapsed="false">
      <c r="A205" s="0" t="str">
        <f aca="false">'Raw Data'!C205</f>
        <v>2024-02</v>
      </c>
      <c r="B205" s="0" t="str">
        <f aca="false">'Raw Data'!D205</f>
        <v>Dumbarton Road</v>
      </c>
      <c r="C205" s="0" t="str">
        <f aca="false">'Raw Data'!E205</f>
        <v>Byres Road/Dumbarton Road</v>
      </c>
      <c r="D205" s="0" t="str">
        <f aca="false">'Raw Data'!F205</f>
        <v>NO2</v>
      </c>
      <c r="E205" s="6" t="n">
        <f aca="false">'Raw Data'!H205</f>
        <v>32.7</v>
      </c>
      <c r="F205" s="7" t="n">
        <f aca="false">IF(D205="NO2",40,18)</f>
        <v>40</v>
      </c>
      <c r="G205" s="8" t="n">
        <f aca="false">E205/F205</f>
        <v>0.8175</v>
      </c>
      <c r="H205" s="0" t="str">
        <f aca="false">IF(E205&gt;F205,"Exceedance",IF(E205&gt;=F205*0.9,"Watch","Compliant"))</f>
        <v>Compliant</v>
      </c>
    </row>
    <row r="206" customFormat="false" ht="15" hidden="false" customHeight="false" outlineLevel="0" collapsed="false">
      <c r="A206" s="0" t="str">
        <f aca="false">'Raw Data'!C206</f>
        <v>2024-02</v>
      </c>
      <c r="B206" s="0" t="str">
        <f aca="false">'Raw Data'!D206</f>
        <v>Byres Road</v>
      </c>
      <c r="C206" s="0" t="str">
        <f aca="false">'Raw Data'!E206</f>
        <v>Byres Road/Dumbarton Road</v>
      </c>
      <c r="D206" s="0" t="str">
        <f aca="false">'Raw Data'!F206</f>
        <v>NO2</v>
      </c>
      <c r="E206" s="6" t="n">
        <f aca="false">'Raw Data'!H206</f>
        <v>30</v>
      </c>
      <c r="F206" s="7" t="n">
        <f aca="false">IF(D206="NO2",40,18)</f>
        <v>40</v>
      </c>
      <c r="G206" s="8" t="n">
        <f aca="false">E206/F206</f>
        <v>0.75</v>
      </c>
      <c r="H206" s="0" t="str">
        <f aca="false">IF(E206&gt;F206,"Exceedance",IF(E206&gt;=F206*0.9,"Watch","Compliant"))</f>
        <v>Compliant</v>
      </c>
    </row>
    <row r="207" customFormat="false" ht="15" hidden="false" customHeight="false" outlineLevel="0" collapsed="false">
      <c r="A207" s="0" t="str">
        <f aca="false">'Raw Data'!C207</f>
        <v>2024-02</v>
      </c>
      <c r="B207" s="0" t="str">
        <f aca="false">'Raw Data'!D207</f>
        <v>Parkhead Cross</v>
      </c>
      <c r="C207" s="0" t="str">
        <f aca="false">'Raw Data'!E207</f>
        <v>Parkhead Cross</v>
      </c>
      <c r="D207" s="0" t="str">
        <f aca="false">'Raw Data'!F207</f>
        <v>NO2</v>
      </c>
      <c r="E207" s="6" t="n">
        <f aca="false">'Raw Data'!H207</f>
        <v>30.7</v>
      </c>
      <c r="F207" s="7" t="n">
        <f aca="false">IF(D207="NO2",40,18)</f>
        <v>40</v>
      </c>
      <c r="G207" s="8" t="n">
        <f aca="false">E207/F207</f>
        <v>0.7675</v>
      </c>
      <c r="H207" s="0" t="str">
        <f aca="false">IF(E207&gt;F207,"Exceedance",IF(E207&gt;=F207*0.9,"Watch","Compliant"))</f>
        <v>Compliant</v>
      </c>
    </row>
    <row r="208" customFormat="false" ht="15" hidden="false" customHeight="false" outlineLevel="0" collapsed="false">
      <c r="A208" s="0" t="str">
        <f aca="false">'Raw Data'!C208</f>
        <v>2024-02</v>
      </c>
      <c r="B208" s="0" t="str">
        <f aca="false">'Raw Data'!D208</f>
        <v>Hope Street (kerbside)</v>
      </c>
      <c r="C208" s="0" t="str">
        <f aca="false">'Raw Data'!E208</f>
        <v>City Centre</v>
      </c>
      <c r="D208" s="0" t="str">
        <f aca="false">'Raw Data'!F208</f>
        <v>PM10</v>
      </c>
      <c r="E208" s="6" t="n">
        <f aca="false">'Raw Data'!H208</f>
        <v>19.8</v>
      </c>
      <c r="F208" s="7" t="n">
        <f aca="false">IF(D208="NO2",40,18)</f>
        <v>18</v>
      </c>
      <c r="G208" s="8" t="n">
        <f aca="false">E208/F208</f>
        <v>1.1</v>
      </c>
      <c r="H208" s="0" t="str">
        <f aca="false">IF(E208&gt;F208,"Exceedance",IF(E208&gt;=F208*0.9,"Watch","Compliant"))</f>
        <v>Exceedance</v>
      </c>
    </row>
    <row r="209" customFormat="false" ht="15" hidden="false" customHeight="false" outlineLevel="0" collapsed="false">
      <c r="A209" s="0" t="str">
        <f aca="false">'Raw Data'!C209</f>
        <v>2024-02</v>
      </c>
      <c r="B209" s="0" t="str">
        <f aca="false">'Raw Data'!D209</f>
        <v>Townhead</v>
      </c>
      <c r="C209" s="0" t="str">
        <f aca="false">'Raw Data'!E209</f>
        <v>City Centre</v>
      </c>
      <c r="D209" s="0" t="str">
        <f aca="false">'Raw Data'!F209</f>
        <v>PM10</v>
      </c>
      <c r="E209" s="6" t="n">
        <f aca="false">'Raw Data'!H209</f>
        <v>16.4</v>
      </c>
      <c r="F209" s="7" t="n">
        <f aca="false">IF(D209="NO2",40,18)</f>
        <v>18</v>
      </c>
      <c r="G209" s="8" t="n">
        <f aca="false">E209/F209</f>
        <v>0.911111111111111</v>
      </c>
      <c r="H209" s="0" t="str">
        <f aca="false">IF(E209&gt;F209,"Exceedance",IF(E209&gt;=F209*0.9,"Watch","Compliant"))</f>
        <v>Watch</v>
      </c>
    </row>
    <row r="210" customFormat="false" ht="15" hidden="false" customHeight="false" outlineLevel="0" collapsed="false">
      <c r="A210" s="0" t="str">
        <f aca="false">'Raw Data'!C210</f>
        <v>2024-03</v>
      </c>
      <c r="B210" s="0" t="str">
        <f aca="false">'Raw Data'!D210</f>
        <v>Hope Street (kerbside)</v>
      </c>
      <c r="C210" s="0" t="str">
        <f aca="false">'Raw Data'!E210</f>
        <v>City Centre</v>
      </c>
      <c r="D210" s="0" t="str">
        <f aca="false">'Raw Data'!F210</f>
        <v>NO2</v>
      </c>
      <c r="E210" s="6" t="n">
        <f aca="false">'Raw Data'!H210</f>
        <v>37.3</v>
      </c>
      <c r="F210" s="7" t="n">
        <f aca="false">IF(D210="NO2",40,18)</f>
        <v>40</v>
      </c>
      <c r="G210" s="8" t="n">
        <f aca="false">E210/F210</f>
        <v>0.9325</v>
      </c>
      <c r="H210" s="0" t="str">
        <f aca="false">IF(E210&gt;F210,"Exceedance",IF(E210&gt;=F210*0.9,"Watch","Compliant"))</f>
        <v>Watch</v>
      </c>
    </row>
    <row r="211" customFormat="false" ht="15" hidden="false" customHeight="false" outlineLevel="0" collapsed="false">
      <c r="A211" s="0" t="str">
        <f aca="false">'Raw Data'!C211</f>
        <v>2024-03</v>
      </c>
      <c r="B211" s="0" t="str">
        <f aca="false">'Raw Data'!D211</f>
        <v>North Street</v>
      </c>
      <c r="C211" s="0" t="str">
        <f aca="false">'Raw Data'!E211</f>
        <v>City Centre</v>
      </c>
      <c r="D211" s="0" t="str">
        <f aca="false">'Raw Data'!F211</f>
        <v>NO2</v>
      </c>
      <c r="E211" s="6" t="n">
        <f aca="false">'Raw Data'!H211</f>
        <v>31.6</v>
      </c>
      <c r="F211" s="7" t="n">
        <f aca="false">IF(D211="NO2",40,18)</f>
        <v>40</v>
      </c>
      <c r="G211" s="8" t="n">
        <f aca="false">E211/F211</f>
        <v>0.79</v>
      </c>
      <c r="H211" s="0" t="str">
        <f aca="false">IF(E211&gt;F211,"Exceedance",IF(E211&gt;=F211*0.9,"Watch","Compliant"))</f>
        <v>Compliant</v>
      </c>
    </row>
    <row r="212" customFormat="false" ht="15" hidden="false" customHeight="false" outlineLevel="0" collapsed="false">
      <c r="A212" s="0" t="str">
        <f aca="false">'Raw Data'!C212</f>
        <v>2024-03</v>
      </c>
      <c r="B212" s="0" t="str">
        <f aca="false">'Raw Data'!D212</f>
        <v>Royston Road</v>
      </c>
      <c r="C212" s="0" t="str">
        <f aca="false">'Raw Data'!E212</f>
        <v>City Centre</v>
      </c>
      <c r="D212" s="0" t="str">
        <f aca="false">'Raw Data'!F212</f>
        <v>NO2</v>
      </c>
      <c r="E212" s="6" t="n">
        <f aca="false">'Raw Data'!H212</f>
        <v>27.8</v>
      </c>
      <c r="F212" s="7" t="n">
        <f aca="false">IF(D212="NO2",40,18)</f>
        <v>40</v>
      </c>
      <c r="G212" s="8" t="n">
        <f aca="false">E212/F212</f>
        <v>0.695</v>
      </c>
      <c r="H212" s="0" t="str">
        <f aca="false">IF(E212&gt;F212,"Exceedance",IF(E212&gt;=F212*0.9,"Watch","Compliant"))</f>
        <v>Compliant</v>
      </c>
    </row>
    <row r="213" customFormat="false" ht="15" hidden="false" customHeight="false" outlineLevel="0" collapsed="false">
      <c r="A213" s="0" t="str">
        <f aca="false">'Raw Data'!C213</f>
        <v>2024-03</v>
      </c>
      <c r="B213" s="0" t="str">
        <f aca="false">'Raw Data'!D213</f>
        <v>Dumbarton Road</v>
      </c>
      <c r="C213" s="0" t="str">
        <f aca="false">'Raw Data'!E213</f>
        <v>Byres Road/Dumbarton Road</v>
      </c>
      <c r="D213" s="0" t="str">
        <f aca="false">'Raw Data'!F213</f>
        <v>NO2</v>
      </c>
      <c r="E213" s="6" t="n">
        <f aca="false">'Raw Data'!H213</f>
        <v>28.3</v>
      </c>
      <c r="F213" s="7" t="n">
        <f aca="false">IF(D213="NO2",40,18)</f>
        <v>40</v>
      </c>
      <c r="G213" s="8" t="n">
        <f aca="false">E213/F213</f>
        <v>0.7075</v>
      </c>
      <c r="H213" s="0" t="str">
        <f aca="false">IF(E213&gt;F213,"Exceedance",IF(E213&gt;=F213*0.9,"Watch","Compliant"))</f>
        <v>Compliant</v>
      </c>
    </row>
    <row r="214" customFormat="false" ht="15" hidden="false" customHeight="false" outlineLevel="0" collapsed="false">
      <c r="A214" s="0" t="str">
        <f aca="false">'Raw Data'!C214</f>
        <v>2024-03</v>
      </c>
      <c r="B214" s="0" t="str">
        <f aca="false">'Raw Data'!D214</f>
        <v>Byres Road</v>
      </c>
      <c r="C214" s="0" t="str">
        <f aca="false">'Raw Data'!E214</f>
        <v>Byres Road/Dumbarton Road</v>
      </c>
      <c r="D214" s="0" t="str">
        <f aca="false">'Raw Data'!F214</f>
        <v>NO2</v>
      </c>
      <c r="E214" s="6" t="n">
        <f aca="false">'Raw Data'!H214</f>
        <v>27.8</v>
      </c>
      <c r="F214" s="7" t="n">
        <f aca="false">IF(D214="NO2",40,18)</f>
        <v>40</v>
      </c>
      <c r="G214" s="8" t="n">
        <f aca="false">E214/F214</f>
        <v>0.695</v>
      </c>
      <c r="H214" s="0" t="str">
        <f aca="false">IF(E214&gt;F214,"Exceedance",IF(E214&gt;=F214*0.9,"Watch","Compliant"))</f>
        <v>Compliant</v>
      </c>
    </row>
    <row r="215" customFormat="false" ht="15" hidden="false" customHeight="false" outlineLevel="0" collapsed="false">
      <c r="A215" s="0" t="str">
        <f aca="false">'Raw Data'!C215</f>
        <v>2024-03</v>
      </c>
      <c r="B215" s="0" t="str">
        <f aca="false">'Raw Data'!D215</f>
        <v>Parkhead Cross</v>
      </c>
      <c r="C215" s="0" t="str">
        <f aca="false">'Raw Data'!E215</f>
        <v>Parkhead Cross</v>
      </c>
      <c r="D215" s="0" t="str">
        <f aca="false">'Raw Data'!F215</f>
        <v>NO2</v>
      </c>
      <c r="E215" s="6" t="n">
        <f aca="false">'Raw Data'!H215</f>
        <v>29.5</v>
      </c>
      <c r="F215" s="7" t="n">
        <f aca="false">IF(D215="NO2",40,18)</f>
        <v>40</v>
      </c>
      <c r="G215" s="8" t="n">
        <f aca="false">E215/F215</f>
        <v>0.7375</v>
      </c>
      <c r="H215" s="0" t="str">
        <f aca="false">IF(E215&gt;F215,"Exceedance",IF(E215&gt;=F215*0.9,"Watch","Compliant"))</f>
        <v>Compliant</v>
      </c>
    </row>
    <row r="216" customFormat="false" ht="15" hidden="false" customHeight="false" outlineLevel="0" collapsed="false">
      <c r="A216" s="0" t="str">
        <f aca="false">'Raw Data'!C216</f>
        <v>2024-03</v>
      </c>
      <c r="B216" s="0" t="str">
        <f aca="false">'Raw Data'!D216</f>
        <v>Hope Street (kerbside)</v>
      </c>
      <c r="C216" s="0" t="str">
        <f aca="false">'Raw Data'!E216</f>
        <v>City Centre</v>
      </c>
      <c r="D216" s="0" t="str">
        <f aca="false">'Raw Data'!F216</f>
        <v>PM10</v>
      </c>
      <c r="E216" s="6" t="n">
        <f aca="false">'Raw Data'!H216</f>
        <v>17.5</v>
      </c>
      <c r="F216" s="7" t="n">
        <f aca="false">IF(D216="NO2",40,18)</f>
        <v>18</v>
      </c>
      <c r="G216" s="8" t="n">
        <f aca="false">E216/F216</f>
        <v>0.972222222222222</v>
      </c>
      <c r="H216" s="0" t="str">
        <f aca="false">IF(E216&gt;F216,"Exceedance",IF(E216&gt;=F216*0.9,"Watch","Compliant"))</f>
        <v>Watch</v>
      </c>
    </row>
    <row r="217" customFormat="false" ht="15" hidden="false" customHeight="false" outlineLevel="0" collapsed="false">
      <c r="A217" s="0" t="str">
        <f aca="false">'Raw Data'!C217</f>
        <v>2024-03</v>
      </c>
      <c r="B217" s="0" t="str">
        <f aca="false">'Raw Data'!D217</f>
        <v>Townhead</v>
      </c>
      <c r="C217" s="0" t="str">
        <f aca="false">'Raw Data'!E217</f>
        <v>City Centre</v>
      </c>
      <c r="D217" s="0" t="str">
        <f aca="false">'Raw Data'!F217</f>
        <v>PM10</v>
      </c>
      <c r="E217" s="6" t="n">
        <f aca="false">'Raw Data'!H217</f>
        <v>15.2</v>
      </c>
      <c r="F217" s="7" t="n">
        <f aca="false">IF(D217="NO2",40,18)</f>
        <v>18</v>
      </c>
      <c r="G217" s="8" t="n">
        <f aca="false">E217/F217</f>
        <v>0.844444444444444</v>
      </c>
      <c r="H217" s="0" t="str">
        <f aca="false">IF(E217&gt;F217,"Exceedance",IF(E217&gt;=F217*0.9,"Watch","Compliant"))</f>
        <v>Compliant</v>
      </c>
    </row>
    <row r="218" customFormat="false" ht="15" hidden="false" customHeight="false" outlineLevel="0" collapsed="false">
      <c r="A218" s="0" t="str">
        <f aca="false">'Raw Data'!C218</f>
        <v>2024-04</v>
      </c>
      <c r="B218" s="0" t="str">
        <f aca="false">'Raw Data'!D218</f>
        <v>Hope Street (kerbside)</v>
      </c>
      <c r="C218" s="0" t="str">
        <f aca="false">'Raw Data'!E218</f>
        <v>City Centre</v>
      </c>
      <c r="D218" s="0" t="str">
        <f aca="false">'Raw Data'!F218</f>
        <v>NO2</v>
      </c>
      <c r="E218" s="6" t="n">
        <f aca="false">'Raw Data'!H218</f>
        <v>31.7</v>
      </c>
      <c r="F218" s="7" t="n">
        <f aca="false">IF(D218="NO2",40,18)</f>
        <v>40</v>
      </c>
      <c r="G218" s="8" t="n">
        <f aca="false">E218/F218</f>
        <v>0.7925</v>
      </c>
      <c r="H218" s="0" t="str">
        <f aca="false">IF(E218&gt;F218,"Exceedance",IF(E218&gt;=F218*0.9,"Watch","Compliant"))</f>
        <v>Compliant</v>
      </c>
    </row>
    <row r="219" customFormat="false" ht="15" hidden="false" customHeight="false" outlineLevel="0" collapsed="false">
      <c r="A219" s="0" t="str">
        <f aca="false">'Raw Data'!C219</f>
        <v>2024-04</v>
      </c>
      <c r="B219" s="0" t="str">
        <f aca="false">'Raw Data'!D219</f>
        <v>North Street</v>
      </c>
      <c r="C219" s="0" t="str">
        <f aca="false">'Raw Data'!E219</f>
        <v>City Centre</v>
      </c>
      <c r="D219" s="0" t="str">
        <f aca="false">'Raw Data'!F219</f>
        <v>NO2</v>
      </c>
      <c r="E219" s="6" t="n">
        <f aca="false">'Raw Data'!H219</f>
        <v>30.6</v>
      </c>
      <c r="F219" s="7" t="n">
        <f aca="false">IF(D219="NO2",40,18)</f>
        <v>40</v>
      </c>
      <c r="G219" s="8" t="n">
        <f aca="false">E219/F219</f>
        <v>0.765</v>
      </c>
      <c r="H219" s="0" t="str">
        <f aca="false">IF(E219&gt;F219,"Exceedance",IF(E219&gt;=F219*0.9,"Watch","Compliant"))</f>
        <v>Compliant</v>
      </c>
    </row>
    <row r="220" customFormat="false" ht="15" hidden="false" customHeight="false" outlineLevel="0" collapsed="false">
      <c r="A220" s="0" t="str">
        <f aca="false">'Raw Data'!C220</f>
        <v>2024-04</v>
      </c>
      <c r="B220" s="0" t="str">
        <f aca="false">'Raw Data'!D220</f>
        <v>Royston Road</v>
      </c>
      <c r="C220" s="0" t="str">
        <f aca="false">'Raw Data'!E220</f>
        <v>City Centre</v>
      </c>
      <c r="D220" s="0" t="str">
        <f aca="false">'Raw Data'!F220</f>
        <v>NO2</v>
      </c>
      <c r="E220" s="6" t="n">
        <f aca="false">'Raw Data'!H220</f>
        <v>27.3</v>
      </c>
      <c r="F220" s="7" t="n">
        <f aca="false">IF(D220="NO2",40,18)</f>
        <v>40</v>
      </c>
      <c r="G220" s="8" t="n">
        <f aca="false">E220/F220</f>
        <v>0.6825</v>
      </c>
      <c r="H220" s="0" t="str">
        <f aca="false">IF(E220&gt;F220,"Exceedance",IF(E220&gt;=F220*0.9,"Watch","Compliant"))</f>
        <v>Compliant</v>
      </c>
    </row>
    <row r="221" customFormat="false" ht="15" hidden="false" customHeight="false" outlineLevel="0" collapsed="false">
      <c r="A221" s="0" t="str">
        <f aca="false">'Raw Data'!C221</f>
        <v>2024-04</v>
      </c>
      <c r="B221" s="0" t="str">
        <f aca="false">'Raw Data'!D221</f>
        <v>Dumbarton Road</v>
      </c>
      <c r="C221" s="0" t="str">
        <f aca="false">'Raw Data'!E221</f>
        <v>Byres Road/Dumbarton Road</v>
      </c>
      <c r="D221" s="0" t="str">
        <f aca="false">'Raw Data'!F221</f>
        <v>NO2</v>
      </c>
      <c r="E221" s="6" t="n">
        <f aca="false">'Raw Data'!H221</f>
        <v>27.7</v>
      </c>
      <c r="F221" s="7" t="n">
        <f aca="false">IF(D221="NO2",40,18)</f>
        <v>40</v>
      </c>
      <c r="G221" s="8" t="n">
        <f aca="false">E221/F221</f>
        <v>0.6925</v>
      </c>
      <c r="H221" s="0" t="str">
        <f aca="false">IF(E221&gt;F221,"Exceedance",IF(E221&gt;=F221*0.9,"Watch","Compliant"))</f>
        <v>Compliant</v>
      </c>
    </row>
    <row r="222" customFormat="false" ht="15" hidden="false" customHeight="false" outlineLevel="0" collapsed="false">
      <c r="A222" s="0" t="str">
        <f aca="false">'Raw Data'!C222</f>
        <v>2024-04</v>
      </c>
      <c r="B222" s="0" t="str">
        <f aca="false">'Raw Data'!D222</f>
        <v>Byres Road</v>
      </c>
      <c r="C222" s="0" t="str">
        <f aca="false">'Raw Data'!E222</f>
        <v>Byres Road/Dumbarton Road</v>
      </c>
      <c r="D222" s="0" t="str">
        <f aca="false">'Raw Data'!F222</f>
        <v>NO2</v>
      </c>
      <c r="E222" s="6" t="n">
        <f aca="false">'Raw Data'!H222</f>
        <v>25.8</v>
      </c>
      <c r="F222" s="7" t="n">
        <f aca="false">IF(D222="NO2",40,18)</f>
        <v>40</v>
      </c>
      <c r="G222" s="8" t="n">
        <f aca="false">E222/F222</f>
        <v>0.645</v>
      </c>
      <c r="H222" s="0" t="str">
        <f aca="false">IF(E222&gt;F222,"Exceedance",IF(E222&gt;=F222*0.9,"Watch","Compliant"))</f>
        <v>Compliant</v>
      </c>
    </row>
    <row r="223" customFormat="false" ht="15" hidden="false" customHeight="false" outlineLevel="0" collapsed="false">
      <c r="A223" s="0" t="str">
        <f aca="false">'Raw Data'!C223</f>
        <v>2024-04</v>
      </c>
      <c r="B223" s="0" t="str">
        <f aca="false">'Raw Data'!D223</f>
        <v>Parkhead Cross</v>
      </c>
      <c r="C223" s="0" t="str">
        <f aca="false">'Raw Data'!E223</f>
        <v>Parkhead Cross</v>
      </c>
      <c r="D223" s="0" t="str">
        <f aca="false">'Raw Data'!F223</f>
        <v>NO2</v>
      </c>
      <c r="E223" s="6" t="n">
        <f aca="false">'Raw Data'!H223</f>
        <v>27.1</v>
      </c>
      <c r="F223" s="7" t="n">
        <f aca="false">IF(D223="NO2",40,18)</f>
        <v>40</v>
      </c>
      <c r="G223" s="8" t="n">
        <f aca="false">E223/F223</f>
        <v>0.6775</v>
      </c>
      <c r="H223" s="0" t="str">
        <f aca="false">IF(E223&gt;F223,"Exceedance",IF(E223&gt;=F223*0.9,"Watch","Compliant"))</f>
        <v>Compliant</v>
      </c>
    </row>
    <row r="224" customFormat="false" ht="15" hidden="false" customHeight="false" outlineLevel="0" collapsed="false">
      <c r="A224" s="0" t="str">
        <f aca="false">'Raw Data'!C224</f>
        <v>2024-04</v>
      </c>
      <c r="B224" s="0" t="str">
        <f aca="false">'Raw Data'!D224</f>
        <v>Hope Street (kerbside)</v>
      </c>
      <c r="C224" s="0" t="str">
        <f aca="false">'Raw Data'!E224</f>
        <v>City Centre</v>
      </c>
      <c r="D224" s="0" t="str">
        <f aca="false">'Raw Data'!F224</f>
        <v>PM10</v>
      </c>
      <c r="E224" s="6" t="n">
        <f aca="false">'Raw Data'!H224</f>
        <v>16</v>
      </c>
      <c r="F224" s="7" t="n">
        <f aca="false">IF(D224="NO2",40,18)</f>
        <v>18</v>
      </c>
      <c r="G224" s="8" t="n">
        <f aca="false">E224/F224</f>
        <v>0.888888888888889</v>
      </c>
      <c r="H224" s="0" t="str">
        <f aca="false">IF(E224&gt;F224,"Exceedance",IF(E224&gt;=F224*0.9,"Watch","Compliant"))</f>
        <v>Compliant</v>
      </c>
    </row>
    <row r="225" customFormat="false" ht="15" hidden="false" customHeight="false" outlineLevel="0" collapsed="false">
      <c r="A225" s="0" t="str">
        <f aca="false">'Raw Data'!C225</f>
        <v>2024-04</v>
      </c>
      <c r="B225" s="0" t="str">
        <f aca="false">'Raw Data'!D225</f>
        <v>Townhead</v>
      </c>
      <c r="C225" s="0" t="str">
        <f aca="false">'Raw Data'!E225</f>
        <v>City Centre</v>
      </c>
      <c r="D225" s="0" t="str">
        <f aca="false">'Raw Data'!F225</f>
        <v>PM10</v>
      </c>
      <c r="E225" s="6" t="n">
        <f aca="false">'Raw Data'!H225</f>
        <v>13.7</v>
      </c>
      <c r="F225" s="7" t="n">
        <f aca="false">IF(D225="NO2",40,18)</f>
        <v>18</v>
      </c>
      <c r="G225" s="8" t="n">
        <f aca="false">E225/F225</f>
        <v>0.761111111111111</v>
      </c>
      <c r="H225" s="0" t="str">
        <f aca="false">IF(E225&gt;F225,"Exceedance",IF(E225&gt;=F225*0.9,"Watch","Compliant"))</f>
        <v>Compliant</v>
      </c>
    </row>
    <row r="226" customFormat="false" ht="15" hidden="false" customHeight="false" outlineLevel="0" collapsed="false">
      <c r="A226" s="0" t="str">
        <f aca="false">'Raw Data'!C226</f>
        <v>2024-05</v>
      </c>
      <c r="B226" s="0" t="str">
        <f aca="false">'Raw Data'!D226</f>
        <v>Hope Street (kerbside)</v>
      </c>
      <c r="C226" s="0" t="str">
        <f aca="false">'Raw Data'!E226</f>
        <v>City Centre</v>
      </c>
      <c r="D226" s="0" t="str">
        <f aca="false">'Raw Data'!F226</f>
        <v>NO2</v>
      </c>
      <c r="E226" s="6" t="n">
        <f aca="false">'Raw Data'!H226</f>
        <v>32.5</v>
      </c>
      <c r="F226" s="7" t="n">
        <f aca="false">IF(D226="NO2",40,18)</f>
        <v>40</v>
      </c>
      <c r="G226" s="8" t="n">
        <f aca="false">E226/F226</f>
        <v>0.8125</v>
      </c>
      <c r="H226" s="0" t="str">
        <f aca="false">IF(E226&gt;F226,"Exceedance",IF(E226&gt;=F226*0.9,"Watch","Compliant"))</f>
        <v>Compliant</v>
      </c>
    </row>
    <row r="227" customFormat="false" ht="15" hidden="false" customHeight="false" outlineLevel="0" collapsed="false">
      <c r="A227" s="0" t="str">
        <f aca="false">'Raw Data'!C227</f>
        <v>2024-05</v>
      </c>
      <c r="B227" s="0" t="str">
        <f aca="false">'Raw Data'!D227</f>
        <v>North Street</v>
      </c>
      <c r="C227" s="0" t="str">
        <f aca="false">'Raw Data'!E227</f>
        <v>City Centre</v>
      </c>
      <c r="D227" s="0" t="str">
        <f aca="false">'Raw Data'!F227</f>
        <v>NO2</v>
      </c>
      <c r="E227" s="6" t="n">
        <f aca="false">'Raw Data'!H227</f>
        <v>29</v>
      </c>
      <c r="F227" s="7" t="n">
        <f aca="false">IF(D227="NO2",40,18)</f>
        <v>40</v>
      </c>
      <c r="G227" s="8" t="n">
        <f aca="false">E227/F227</f>
        <v>0.725</v>
      </c>
      <c r="H227" s="0" t="str">
        <f aca="false">IF(E227&gt;F227,"Exceedance",IF(E227&gt;=F227*0.9,"Watch","Compliant"))</f>
        <v>Compliant</v>
      </c>
    </row>
    <row r="228" customFormat="false" ht="15" hidden="false" customHeight="false" outlineLevel="0" collapsed="false">
      <c r="A228" s="0" t="str">
        <f aca="false">'Raw Data'!C228</f>
        <v>2024-05</v>
      </c>
      <c r="B228" s="0" t="str">
        <f aca="false">'Raw Data'!D228</f>
        <v>Royston Road</v>
      </c>
      <c r="C228" s="0" t="str">
        <f aca="false">'Raw Data'!E228</f>
        <v>City Centre</v>
      </c>
      <c r="D228" s="0" t="str">
        <f aca="false">'Raw Data'!F228</f>
        <v>NO2</v>
      </c>
      <c r="E228" s="6" t="n">
        <f aca="false">'Raw Data'!H228</f>
        <v>24.2</v>
      </c>
      <c r="F228" s="7" t="n">
        <f aca="false">IF(D228="NO2",40,18)</f>
        <v>40</v>
      </c>
      <c r="G228" s="8" t="n">
        <f aca="false">E228/F228</f>
        <v>0.605</v>
      </c>
      <c r="H228" s="0" t="str">
        <f aca="false">IF(E228&gt;F228,"Exceedance",IF(E228&gt;=F228*0.9,"Watch","Compliant"))</f>
        <v>Compliant</v>
      </c>
    </row>
    <row r="229" customFormat="false" ht="15" hidden="false" customHeight="false" outlineLevel="0" collapsed="false">
      <c r="A229" s="0" t="str">
        <f aca="false">'Raw Data'!C229</f>
        <v>2024-05</v>
      </c>
      <c r="B229" s="0" t="str">
        <f aca="false">'Raw Data'!D229</f>
        <v>Dumbarton Road</v>
      </c>
      <c r="C229" s="0" t="str">
        <f aca="false">'Raw Data'!E229</f>
        <v>Byres Road/Dumbarton Road</v>
      </c>
      <c r="D229" s="0" t="str">
        <f aca="false">'Raw Data'!F229</f>
        <v>NO2</v>
      </c>
      <c r="E229" s="6" t="n">
        <f aca="false">'Raw Data'!H229</f>
        <v>25.5</v>
      </c>
      <c r="F229" s="7" t="n">
        <f aca="false">IF(D229="NO2",40,18)</f>
        <v>40</v>
      </c>
      <c r="G229" s="8" t="n">
        <f aca="false">E229/F229</f>
        <v>0.6375</v>
      </c>
      <c r="H229" s="0" t="str">
        <f aca="false">IF(E229&gt;F229,"Exceedance",IF(E229&gt;=F229*0.9,"Watch","Compliant"))</f>
        <v>Compliant</v>
      </c>
    </row>
    <row r="230" customFormat="false" ht="15" hidden="false" customHeight="false" outlineLevel="0" collapsed="false">
      <c r="A230" s="0" t="str">
        <f aca="false">'Raw Data'!C230</f>
        <v>2024-05</v>
      </c>
      <c r="B230" s="0" t="str">
        <f aca="false">'Raw Data'!D230</f>
        <v>Byres Road</v>
      </c>
      <c r="C230" s="0" t="str">
        <f aca="false">'Raw Data'!E230</f>
        <v>Byres Road/Dumbarton Road</v>
      </c>
      <c r="D230" s="0" t="str">
        <f aca="false">'Raw Data'!F230</f>
        <v>NO2</v>
      </c>
      <c r="E230" s="6" t="n">
        <f aca="false">'Raw Data'!H230</f>
        <v>22.7</v>
      </c>
      <c r="F230" s="7" t="n">
        <f aca="false">IF(D230="NO2",40,18)</f>
        <v>40</v>
      </c>
      <c r="G230" s="8" t="n">
        <f aca="false">E230/F230</f>
        <v>0.5675</v>
      </c>
      <c r="H230" s="0" t="str">
        <f aca="false">IF(E230&gt;F230,"Exceedance",IF(E230&gt;=F230*0.9,"Watch","Compliant"))</f>
        <v>Compliant</v>
      </c>
    </row>
    <row r="231" customFormat="false" ht="15" hidden="false" customHeight="false" outlineLevel="0" collapsed="false">
      <c r="A231" s="0" t="str">
        <f aca="false">'Raw Data'!C231</f>
        <v>2024-05</v>
      </c>
      <c r="B231" s="0" t="str">
        <f aca="false">'Raw Data'!D231</f>
        <v>Parkhead Cross</v>
      </c>
      <c r="C231" s="0" t="str">
        <f aca="false">'Raw Data'!E231</f>
        <v>Parkhead Cross</v>
      </c>
      <c r="D231" s="0" t="str">
        <f aca="false">'Raw Data'!F231</f>
        <v>NO2</v>
      </c>
      <c r="E231" s="6" t="n">
        <f aca="false">'Raw Data'!H231</f>
        <v>26.2</v>
      </c>
      <c r="F231" s="7" t="n">
        <f aca="false">IF(D231="NO2",40,18)</f>
        <v>40</v>
      </c>
      <c r="G231" s="8" t="n">
        <f aca="false">E231/F231</f>
        <v>0.655</v>
      </c>
      <c r="H231" s="0" t="str">
        <f aca="false">IF(E231&gt;F231,"Exceedance",IF(E231&gt;=F231*0.9,"Watch","Compliant"))</f>
        <v>Compliant</v>
      </c>
    </row>
    <row r="232" customFormat="false" ht="15" hidden="false" customHeight="false" outlineLevel="0" collapsed="false">
      <c r="A232" s="0" t="str">
        <f aca="false">'Raw Data'!C232</f>
        <v>2024-05</v>
      </c>
      <c r="B232" s="0" t="str">
        <f aca="false">'Raw Data'!D232</f>
        <v>Hope Street (kerbside)</v>
      </c>
      <c r="C232" s="0" t="str">
        <f aca="false">'Raw Data'!E232</f>
        <v>City Centre</v>
      </c>
      <c r="D232" s="0" t="str">
        <f aca="false">'Raw Data'!F232</f>
        <v>PM10</v>
      </c>
      <c r="E232" s="6" t="n">
        <f aca="false">'Raw Data'!H232</f>
        <v>16.3</v>
      </c>
      <c r="F232" s="7" t="n">
        <f aca="false">IF(D232="NO2",40,18)</f>
        <v>18</v>
      </c>
      <c r="G232" s="8" t="n">
        <f aca="false">E232/F232</f>
        <v>0.905555555555556</v>
      </c>
      <c r="H232" s="0" t="str">
        <f aca="false">IF(E232&gt;F232,"Exceedance",IF(E232&gt;=F232*0.9,"Watch","Compliant"))</f>
        <v>Watch</v>
      </c>
    </row>
    <row r="233" customFormat="false" ht="15" hidden="false" customHeight="false" outlineLevel="0" collapsed="false">
      <c r="A233" s="0" t="str">
        <f aca="false">'Raw Data'!C233</f>
        <v>2024-05</v>
      </c>
      <c r="B233" s="0" t="str">
        <f aca="false">'Raw Data'!D233</f>
        <v>Townhead</v>
      </c>
      <c r="C233" s="0" t="str">
        <f aca="false">'Raw Data'!E233</f>
        <v>City Centre</v>
      </c>
      <c r="D233" s="0" t="str">
        <f aca="false">'Raw Data'!F233</f>
        <v>PM10</v>
      </c>
      <c r="E233" s="6" t="n">
        <f aca="false">'Raw Data'!H233</f>
        <v>13.4</v>
      </c>
      <c r="F233" s="7" t="n">
        <f aca="false">IF(D233="NO2",40,18)</f>
        <v>18</v>
      </c>
      <c r="G233" s="8" t="n">
        <f aca="false">E233/F233</f>
        <v>0.744444444444445</v>
      </c>
      <c r="H233" s="0" t="str">
        <f aca="false">IF(E233&gt;F233,"Exceedance",IF(E233&gt;=F233*0.9,"Watch","Compliant"))</f>
        <v>Compliant</v>
      </c>
    </row>
    <row r="234" customFormat="false" ht="15" hidden="false" customHeight="false" outlineLevel="0" collapsed="false">
      <c r="A234" s="0" t="str">
        <f aca="false">'Raw Data'!C234</f>
        <v>2024-06</v>
      </c>
      <c r="B234" s="0" t="str">
        <f aca="false">'Raw Data'!D234</f>
        <v>Hope Street (kerbside)</v>
      </c>
      <c r="C234" s="0" t="str">
        <f aca="false">'Raw Data'!E234</f>
        <v>City Centre</v>
      </c>
      <c r="D234" s="0" t="str">
        <f aca="false">'Raw Data'!F234</f>
        <v>NO2</v>
      </c>
      <c r="E234" s="6" t="n">
        <f aca="false">'Raw Data'!H234</f>
        <v>31.5</v>
      </c>
      <c r="F234" s="7" t="n">
        <f aca="false">IF(D234="NO2",40,18)</f>
        <v>40</v>
      </c>
      <c r="G234" s="8" t="n">
        <f aca="false">E234/F234</f>
        <v>0.7875</v>
      </c>
      <c r="H234" s="0" t="str">
        <f aca="false">IF(E234&gt;F234,"Exceedance",IF(E234&gt;=F234*0.9,"Watch","Compliant"))</f>
        <v>Compliant</v>
      </c>
    </row>
    <row r="235" customFormat="false" ht="15" hidden="false" customHeight="false" outlineLevel="0" collapsed="false">
      <c r="A235" s="0" t="str">
        <f aca="false">'Raw Data'!C235</f>
        <v>2024-06</v>
      </c>
      <c r="B235" s="0" t="str">
        <f aca="false">'Raw Data'!D235</f>
        <v>North Street</v>
      </c>
      <c r="C235" s="0" t="str">
        <f aca="false">'Raw Data'!E235</f>
        <v>City Centre</v>
      </c>
      <c r="D235" s="0" t="str">
        <f aca="false">'Raw Data'!F235</f>
        <v>NO2</v>
      </c>
      <c r="E235" s="6" t="n">
        <f aca="false">'Raw Data'!H235</f>
        <v>28</v>
      </c>
      <c r="F235" s="7" t="n">
        <f aca="false">IF(D235="NO2",40,18)</f>
        <v>40</v>
      </c>
      <c r="G235" s="8" t="n">
        <f aca="false">E235/F235</f>
        <v>0.7</v>
      </c>
      <c r="H235" s="0" t="str">
        <f aca="false">IF(E235&gt;F235,"Exceedance",IF(E235&gt;=F235*0.9,"Watch","Compliant"))</f>
        <v>Compliant</v>
      </c>
    </row>
    <row r="236" customFormat="false" ht="15" hidden="false" customHeight="false" outlineLevel="0" collapsed="false">
      <c r="A236" s="0" t="str">
        <f aca="false">'Raw Data'!C236</f>
        <v>2024-06</v>
      </c>
      <c r="B236" s="0" t="str">
        <f aca="false">'Raw Data'!D236</f>
        <v>Royston Road</v>
      </c>
      <c r="C236" s="0" t="str">
        <f aca="false">'Raw Data'!E236</f>
        <v>City Centre</v>
      </c>
      <c r="D236" s="0" t="str">
        <f aca="false">'Raw Data'!F236</f>
        <v>NO2</v>
      </c>
      <c r="E236" s="6" t="n">
        <f aca="false">'Raw Data'!H236</f>
        <v>24.6</v>
      </c>
      <c r="F236" s="7" t="n">
        <f aca="false">IF(D236="NO2",40,18)</f>
        <v>40</v>
      </c>
      <c r="G236" s="8" t="n">
        <f aca="false">E236/F236</f>
        <v>0.615</v>
      </c>
      <c r="H236" s="0" t="str">
        <f aca="false">IF(E236&gt;F236,"Exceedance",IF(E236&gt;=F236*0.9,"Watch","Compliant"))</f>
        <v>Compliant</v>
      </c>
    </row>
    <row r="237" customFormat="false" ht="15" hidden="false" customHeight="false" outlineLevel="0" collapsed="false">
      <c r="A237" s="0" t="str">
        <f aca="false">'Raw Data'!C237</f>
        <v>2024-06</v>
      </c>
      <c r="B237" s="0" t="str">
        <f aca="false">'Raw Data'!D237</f>
        <v>Dumbarton Road</v>
      </c>
      <c r="C237" s="0" t="str">
        <f aca="false">'Raw Data'!E237</f>
        <v>Byres Road/Dumbarton Road</v>
      </c>
      <c r="D237" s="0" t="str">
        <f aca="false">'Raw Data'!F237</f>
        <v>NO2</v>
      </c>
      <c r="E237" s="6" t="n">
        <f aca="false">'Raw Data'!H237</f>
        <v>25.9</v>
      </c>
      <c r="F237" s="7" t="n">
        <f aca="false">IF(D237="NO2",40,18)</f>
        <v>40</v>
      </c>
      <c r="G237" s="8" t="n">
        <f aca="false">E237/F237</f>
        <v>0.6475</v>
      </c>
      <c r="H237" s="0" t="str">
        <f aca="false">IF(E237&gt;F237,"Exceedance",IF(E237&gt;=F237*0.9,"Watch","Compliant"))</f>
        <v>Compliant</v>
      </c>
    </row>
    <row r="238" customFormat="false" ht="15" hidden="false" customHeight="false" outlineLevel="0" collapsed="false">
      <c r="A238" s="0" t="str">
        <f aca="false">'Raw Data'!C238</f>
        <v>2024-06</v>
      </c>
      <c r="B238" s="0" t="str">
        <f aca="false">'Raw Data'!D238</f>
        <v>Byres Road</v>
      </c>
      <c r="C238" s="0" t="str">
        <f aca="false">'Raw Data'!E238</f>
        <v>Byres Road/Dumbarton Road</v>
      </c>
      <c r="D238" s="0" t="str">
        <f aca="false">'Raw Data'!F238</f>
        <v>NO2</v>
      </c>
      <c r="E238" s="6" t="n">
        <f aca="false">'Raw Data'!H238</f>
        <v>21.6</v>
      </c>
      <c r="F238" s="7" t="n">
        <f aca="false">IF(D238="NO2",40,18)</f>
        <v>40</v>
      </c>
      <c r="G238" s="8" t="n">
        <f aca="false">E238/F238</f>
        <v>0.54</v>
      </c>
      <c r="H238" s="0" t="str">
        <f aca="false">IF(E238&gt;F238,"Exceedance",IF(E238&gt;=F238*0.9,"Watch","Compliant"))</f>
        <v>Compliant</v>
      </c>
    </row>
    <row r="239" customFormat="false" ht="15" hidden="false" customHeight="false" outlineLevel="0" collapsed="false">
      <c r="A239" s="0" t="str">
        <f aca="false">'Raw Data'!C239</f>
        <v>2024-06</v>
      </c>
      <c r="B239" s="0" t="str">
        <f aca="false">'Raw Data'!D239</f>
        <v>Parkhead Cross</v>
      </c>
      <c r="C239" s="0" t="str">
        <f aca="false">'Raw Data'!E239</f>
        <v>Parkhead Cross</v>
      </c>
      <c r="D239" s="0" t="str">
        <f aca="false">'Raw Data'!F239</f>
        <v>NO2</v>
      </c>
      <c r="E239" s="6" t="n">
        <f aca="false">'Raw Data'!H239</f>
        <v>25</v>
      </c>
      <c r="F239" s="7" t="n">
        <f aca="false">IF(D239="NO2",40,18)</f>
        <v>40</v>
      </c>
      <c r="G239" s="8" t="n">
        <f aca="false">E239/F239</f>
        <v>0.625</v>
      </c>
      <c r="H239" s="0" t="str">
        <f aca="false">IF(E239&gt;F239,"Exceedance",IF(E239&gt;=F239*0.9,"Watch","Compliant"))</f>
        <v>Compliant</v>
      </c>
    </row>
    <row r="240" customFormat="false" ht="15" hidden="false" customHeight="false" outlineLevel="0" collapsed="false">
      <c r="A240" s="0" t="str">
        <f aca="false">'Raw Data'!C240</f>
        <v>2024-06</v>
      </c>
      <c r="B240" s="0" t="str">
        <f aca="false">'Raw Data'!D240</f>
        <v>Hope Street (kerbside)</v>
      </c>
      <c r="C240" s="0" t="str">
        <f aca="false">'Raw Data'!E240</f>
        <v>City Centre</v>
      </c>
      <c r="D240" s="0" t="str">
        <f aca="false">'Raw Data'!F240</f>
        <v>PM10</v>
      </c>
      <c r="E240" s="6" t="n">
        <f aca="false">'Raw Data'!H240</f>
        <v>14.8</v>
      </c>
      <c r="F240" s="7" t="n">
        <f aca="false">IF(D240="NO2",40,18)</f>
        <v>18</v>
      </c>
      <c r="G240" s="8" t="n">
        <f aca="false">E240/F240</f>
        <v>0.822222222222222</v>
      </c>
      <c r="H240" s="0" t="str">
        <f aca="false">IF(E240&gt;F240,"Exceedance",IF(E240&gt;=F240*0.9,"Watch","Compliant"))</f>
        <v>Compliant</v>
      </c>
    </row>
    <row r="241" customFormat="false" ht="15" hidden="false" customHeight="false" outlineLevel="0" collapsed="false">
      <c r="A241" s="0" t="str">
        <f aca="false">'Raw Data'!C241</f>
        <v>2024-06</v>
      </c>
      <c r="B241" s="0" t="str">
        <f aca="false">'Raw Data'!D241</f>
        <v>Townhead</v>
      </c>
      <c r="C241" s="0" t="str">
        <f aca="false">'Raw Data'!E241</f>
        <v>City Centre</v>
      </c>
      <c r="D241" s="0" t="str">
        <f aca="false">'Raw Data'!F241</f>
        <v>PM10</v>
      </c>
      <c r="E241" s="6" t="n">
        <f aca="false">'Raw Data'!H241</f>
        <v>13.1</v>
      </c>
      <c r="F241" s="7" t="n">
        <f aca="false">IF(D241="NO2",40,18)</f>
        <v>18</v>
      </c>
      <c r="G241" s="8" t="n">
        <f aca="false">E241/F241</f>
        <v>0.727777777777778</v>
      </c>
      <c r="H241" s="0" t="str">
        <f aca="false">IF(E241&gt;F241,"Exceedance",IF(E241&gt;=F241*0.9,"Watch","Compliant"))</f>
        <v>Compliant</v>
      </c>
    </row>
    <row r="242" customFormat="false" ht="15" hidden="false" customHeight="false" outlineLevel="0" collapsed="false">
      <c r="A242" s="0" t="str">
        <f aca="false">'Raw Data'!C242</f>
        <v>2024-07</v>
      </c>
      <c r="B242" s="0" t="str">
        <f aca="false">'Raw Data'!D242</f>
        <v>Hope Street (kerbside)</v>
      </c>
      <c r="C242" s="0" t="str">
        <f aca="false">'Raw Data'!E242</f>
        <v>City Centre</v>
      </c>
      <c r="D242" s="0" t="str">
        <f aca="false">'Raw Data'!F242</f>
        <v>NO2</v>
      </c>
      <c r="E242" s="6" t="n">
        <f aca="false">'Raw Data'!H242</f>
        <v>30.4</v>
      </c>
      <c r="F242" s="7" t="n">
        <f aca="false">IF(D242="NO2",40,18)</f>
        <v>40</v>
      </c>
      <c r="G242" s="8" t="n">
        <f aca="false">E242/F242</f>
        <v>0.76</v>
      </c>
      <c r="H242" s="0" t="str">
        <f aca="false">IF(E242&gt;F242,"Exceedance",IF(E242&gt;=F242*0.9,"Watch","Compliant"))</f>
        <v>Compliant</v>
      </c>
    </row>
    <row r="243" customFormat="false" ht="15" hidden="false" customHeight="false" outlineLevel="0" collapsed="false">
      <c r="A243" s="0" t="str">
        <f aca="false">'Raw Data'!C243</f>
        <v>2024-07</v>
      </c>
      <c r="B243" s="0" t="str">
        <f aca="false">'Raw Data'!D243</f>
        <v>North Street</v>
      </c>
      <c r="C243" s="0" t="str">
        <f aca="false">'Raw Data'!E243</f>
        <v>City Centre</v>
      </c>
      <c r="D243" s="0" t="str">
        <f aca="false">'Raw Data'!F243</f>
        <v>NO2</v>
      </c>
      <c r="E243" s="6" t="n">
        <f aca="false">'Raw Data'!H243</f>
        <v>26.9</v>
      </c>
      <c r="F243" s="7" t="n">
        <f aca="false">IF(D243="NO2",40,18)</f>
        <v>40</v>
      </c>
      <c r="G243" s="8" t="n">
        <f aca="false">E243/F243</f>
        <v>0.6725</v>
      </c>
      <c r="H243" s="0" t="str">
        <f aca="false">IF(E243&gt;F243,"Exceedance",IF(E243&gt;=F243*0.9,"Watch","Compliant"))</f>
        <v>Compliant</v>
      </c>
    </row>
    <row r="244" customFormat="false" ht="15" hidden="false" customHeight="false" outlineLevel="0" collapsed="false">
      <c r="A244" s="0" t="str">
        <f aca="false">'Raw Data'!C244</f>
        <v>2024-07</v>
      </c>
      <c r="B244" s="0" t="str">
        <f aca="false">'Raw Data'!D244</f>
        <v>Royston Road</v>
      </c>
      <c r="C244" s="0" t="str">
        <f aca="false">'Raw Data'!E244</f>
        <v>City Centre</v>
      </c>
      <c r="D244" s="0" t="str">
        <f aca="false">'Raw Data'!F244</f>
        <v>NO2</v>
      </c>
      <c r="E244" s="6" t="n">
        <f aca="false">'Raw Data'!H244</f>
        <v>22.4</v>
      </c>
      <c r="F244" s="7" t="n">
        <f aca="false">IF(D244="NO2",40,18)</f>
        <v>40</v>
      </c>
      <c r="G244" s="8" t="n">
        <f aca="false">E244/F244</f>
        <v>0.56</v>
      </c>
      <c r="H244" s="0" t="str">
        <f aca="false">IF(E244&gt;F244,"Exceedance",IF(E244&gt;=F244*0.9,"Watch","Compliant"))</f>
        <v>Compliant</v>
      </c>
    </row>
    <row r="245" customFormat="false" ht="15" hidden="false" customHeight="false" outlineLevel="0" collapsed="false">
      <c r="A245" s="0" t="str">
        <f aca="false">'Raw Data'!C245</f>
        <v>2024-07</v>
      </c>
      <c r="B245" s="0" t="str">
        <f aca="false">'Raw Data'!D245</f>
        <v>Dumbarton Road</v>
      </c>
      <c r="C245" s="0" t="str">
        <f aca="false">'Raw Data'!E245</f>
        <v>Byres Road/Dumbarton Road</v>
      </c>
      <c r="D245" s="0" t="str">
        <f aca="false">'Raw Data'!F245</f>
        <v>NO2</v>
      </c>
      <c r="E245" s="6" t="n">
        <f aca="false">'Raw Data'!H245</f>
        <v>25.3</v>
      </c>
      <c r="F245" s="7" t="n">
        <f aca="false">IF(D245="NO2",40,18)</f>
        <v>40</v>
      </c>
      <c r="G245" s="8" t="n">
        <f aca="false">E245/F245</f>
        <v>0.6325</v>
      </c>
      <c r="H245" s="0" t="str">
        <f aca="false">IF(E245&gt;F245,"Exceedance",IF(E245&gt;=F245*0.9,"Watch","Compliant"))</f>
        <v>Compliant</v>
      </c>
    </row>
    <row r="246" customFormat="false" ht="15" hidden="false" customHeight="false" outlineLevel="0" collapsed="false">
      <c r="A246" s="0" t="str">
        <f aca="false">'Raw Data'!C246</f>
        <v>2024-07</v>
      </c>
      <c r="B246" s="0" t="str">
        <f aca="false">'Raw Data'!D246</f>
        <v>Byres Road</v>
      </c>
      <c r="C246" s="0" t="str">
        <f aca="false">'Raw Data'!E246</f>
        <v>Byres Road/Dumbarton Road</v>
      </c>
      <c r="D246" s="0" t="str">
        <f aca="false">'Raw Data'!F246</f>
        <v>NO2</v>
      </c>
      <c r="E246" s="6" t="n">
        <f aca="false">'Raw Data'!H246</f>
        <v>22.9</v>
      </c>
      <c r="F246" s="7" t="n">
        <f aca="false">IF(D246="NO2",40,18)</f>
        <v>40</v>
      </c>
      <c r="G246" s="8" t="n">
        <f aca="false">E246/F246</f>
        <v>0.5725</v>
      </c>
      <c r="H246" s="0" t="str">
        <f aca="false">IF(E246&gt;F246,"Exceedance",IF(E246&gt;=F246*0.9,"Watch","Compliant"))</f>
        <v>Compliant</v>
      </c>
    </row>
    <row r="247" customFormat="false" ht="15" hidden="false" customHeight="false" outlineLevel="0" collapsed="false">
      <c r="A247" s="0" t="str">
        <f aca="false">'Raw Data'!C247</f>
        <v>2024-07</v>
      </c>
      <c r="B247" s="0" t="str">
        <f aca="false">'Raw Data'!D247</f>
        <v>Parkhead Cross</v>
      </c>
      <c r="C247" s="0" t="str">
        <f aca="false">'Raw Data'!E247</f>
        <v>Parkhead Cross</v>
      </c>
      <c r="D247" s="0" t="str">
        <f aca="false">'Raw Data'!F247</f>
        <v>NO2</v>
      </c>
      <c r="E247" s="6" t="n">
        <f aca="false">'Raw Data'!H247</f>
        <v>23.2</v>
      </c>
      <c r="F247" s="7" t="n">
        <f aca="false">IF(D247="NO2",40,18)</f>
        <v>40</v>
      </c>
      <c r="G247" s="8" t="n">
        <f aca="false">E247/F247</f>
        <v>0.58</v>
      </c>
      <c r="H247" s="0" t="str">
        <f aca="false">IF(E247&gt;F247,"Exceedance",IF(E247&gt;=F247*0.9,"Watch","Compliant"))</f>
        <v>Compliant</v>
      </c>
    </row>
    <row r="248" customFormat="false" ht="15" hidden="false" customHeight="false" outlineLevel="0" collapsed="false">
      <c r="A248" s="0" t="str">
        <f aca="false">'Raw Data'!C248</f>
        <v>2024-07</v>
      </c>
      <c r="B248" s="0" t="str">
        <f aca="false">'Raw Data'!D248</f>
        <v>Hope Street (kerbside)</v>
      </c>
      <c r="C248" s="0" t="str">
        <f aca="false">'Raw Data'!E248</f>
        <v>City Centre</v>
      </c>
      <c r="D248" s="0" t="str">
        <f aca="false">'Raw Data'!F248</f>
        <v>PM10</v>
      </c>
      <c r="E248" s="6" t="n">
        <f aca="false">'Raw Data'!H248</f>
        <v>15.2</v>
      </c>
      <c r="F248" s="7" t="n">
        <f aca="false">IF(D248="NO2",40,18)</f>
        <v>18</v>
      </c>
      <c r="G248" s="8" t="n">
        <f aca="false">E248/F248</f>
        <v>0.844444444444444</v>
      </c>
      <c r="H248" s="0" t="str">
        <f aca="false">IF(E248&gt;F248,"Exceedance",IF(E248&gt;=F248*0.9,"Watch","Compliant"))</f>
        <v>Compliant</v>
      </c>
    </row>
    <row r="249" customFormat="false" ht="15" hidden="false" customHeight="false" outlineLevel="0" collapsed="false">
      <c r="A249" s="0" t="str">
        <f aca="false">'Raw Data'!C249</f>
        <v>2024-07</v>
      </c>
      <c r="B249" s="0" t="str">
        <f aca="false">'Raw Data'!D249</f>
        <v>Townhead</v>
      </c>
      <c r="C249" s="0" t="str">
        <f aca="false">'Raw Data'!E249</f>
        <v>City Centre</v>
      </c>
      <c r="D249" s="0" t="str">
        <f aca="false">'Raw Data'!F249</f>
        <v>PM10</v>
      </c>
      <c r="E249" s="6" t="n">
        <f aca="false">'Raw Data'!H249</f>
        <v>12.1</v>
      </c>
      <c r="F249" s="7" t="n">
        <f aca="false">IF(D249="NO2",40,18)</f>
        <v>18</v>
      </c>
      <c r="G249" s="8" t="n">
        <f aca="false">E249/F249</f>
        <v>0.672222222222222</v>
      </c>
      <c r="H249" s="0" t="str">
        <f aca="false">IF(E249&gt;F249,"Exceedance",IF(E249&gt;=F249*0.9,"Watch","Compliant"))</f>
        <v>Compliant</v>
      </c>
    </row>
    <row r="250" customFormat="false" ht="15" hidden="false" customHeight="false" outlineLevel="0" collapsed="false">
      <c r="A250" s="0" t="str">
        <f aca="false">'Raw Data'!C250</f>
        <v>2024-08</v>
      </c>
      <c r="B250" s="0" t="str">
        <f aca="false">'Raw Data'!D250</f>
        <v>Hope Street (kerbside)</v>
      </c>
      <c r="C250" s="0" t="str">
        <f aca="false">'Raw Data'!E250</f>
        <v>City Centre</v>
      </c>
      <c r="D250" s="0" t="str">
        <f aca="false">'Raw Data'!F250</f>
        <v>NO2</v>
      </c>
      <c r="E250" s="6" t="n">
        <f aca="false">'Raw Data'!H250</f>
        <v>29.4</v>
      </c>
      <c r="F250" s="7" t="n">
        <f aca="false">IF(D250="NO2",40,18)</f>
        <v>40</v>
      </c>
      <c r="G250" s="8" t="n">
        <f aca="false">E250/F250</f>
        <v>0.735</v>
      </c>
      <c r="H250" s="0" t="str">
        <f aca="false">IF(E250&gt;F250,"Exceedance",IF(E250&gt;=F250*0.9,"Watch","Compliant"))</f>
        <v>Compliant</v>
      </c>
    </row>
    <row r="251" customFormat="false" ht="15" hidden="false" customHeight="false" outlineLevel="0" collapsed="false">
      <c r="A251" s="0" t="str">
        <f aca="false">'Raw Data'!C251</f>
        <v>2024-08</v>
      </c>
      <c r="B251" s="0" t="str">
        <f aca="false">'Raw Data'!D251</f>
        <v>North Street</v>
      </c>
      <c r="C251" s="0" t="str">
        <f aca="false">'Raw Data'!E251</f>
        <v>City Centre</v>
      </c>
      <c r="D251" s="0" t="str">
        <f aca="false">'Raw Data'!F251</f>
        <v>NO2</v>
      </c>
      <c r="E251" s="6" t="n">
        <f aca="false">'Raw Data'!H251</f>
        <v>25.9</v>
      </c>
      <c r="F251" s="7" t="n">
        <f aca="false">IF(D251="NO2",40,18)</f>
        <v>40</v>
      </c>
      <c r="G251" s="8" t="n">
        <f aca="false">E251/F251</f>
        <v>0.6475</v>
      </c>
      <c r="H251" s="0" t="str">
        <f aca="false">IF(E251&gt;F251,"Exceedance",IF(E251&gt;=F251*0.9,"Watch","Compliant"))</f>
        <v>Compliant</v>
      </c>
    </row>
    <row r="252" customFormat="false" ht="15" hidden="false" customHeight="false" outlineLevel="0" collapsed="false">
      <c r="A252" s="0" t="str">
        <f aca="false">'Raw Data'!C252</f>
        <v>2024-08</v>
      </c>
      <c r="B252" s="0" t="str">
        <f aca="false">'Raw Data'!D252</f>
        <v>Royston Road</v>
      </c>
      <c r="C252" s="0" t="str">
        <f aca="false">'Raw Data'!E252</f>
        <v>City Centre</v>
      </c>
      <c r="D252" s="0" t="str">
        <f aca="false">'Raw Data'!F252</f>
        <v>NO2</v>
      </c>
      <c r="E252" s="6" t="n">
        <f aca="false">'Raw Data'!H252</f>
        <v>23.4</v>
      </c>
      <c r="F252" s="7" t="n">
        <f aca="false">IF(D252="NO2",40,18)</f>
        <v>40</v>
      </c>
      <c r="G252" s="8" t="n">
        <f aca="false">E252/F252</f>
        <v>0.585</v>
      </c>
      <c r="H252" s="0" t="str">
        <f aca="false">IF(E252&gt;F252,"Exceedance",IF(E252&gt;=F252*0.9,"Watch","Compliant"))</f>
        <v>Compliant</v>
      </c>
    </row>
    <row r="253" customFormat="false" ht="15" hidden="false" customHeight="false" outlineLevel="0" collapsed="false">
      <c r="A253" s="0" t="str">
        <f aca="false">'Raw Data'!C253</f>
        <v>2024-08</v>
      </c>
      <c r="B253" s="0" t="str">
        <f aca="false">'Raw Data'!D253</f>
        <v>Dumbarton Road</v>
      </c>
      <c r="C253" s="0" t="str">
        <f aca="false">'Raw Data'!E253</f>
        <v>Byres Road/Dumbarton Road</v>
      </c>
      <c r="D253" s="0" t="str">
        <f aca="false">'Raw Data'!F253</f>
        <v>NO2</v>
      </c>
      <c r="E253" s="6" t="n">
        <f aca="false">'Raw Data'!H253</f>
        <v>25.9</v>
      </c>
      <c r="F253" s="7" t="n">
        <f aca="false">IF(D253="NO2",40,18)</f>
        <v>40</v>
      </c>
      <c r="G253" s="8" t="n">
        <f aca="false">E253/F253</f>
        <v>0.6475</v>
      </c>
      <c r="H253" s="0" t="str">
        <f aca="false">IF(E253&gt;F253,"Exceedance",IF(E253&gt;=F253*0.9,"Watch","Compliant"))</f>
        <v>Compliant</v>
      </c>
    </row>
    <row r="254" customFormat="false" ht="15" hidden="false" customHeight="false" outlineLevel="0" collapsed="false">
      <c r="A254" s="0" t="str">
        <f aca="false">'Raw Data'!C254</f>
        <v>2024-08</v>
      </c>
      <c r="B254" s="0" t="str">
        <f aca="false">'Raw Data'!D254</f>
        <v>Byres Road</v>
      </c>
      <c r="C254" s="0" t="str">
        <f aca="false">'Raw Data'!E254</f>
        <v>Byres Road/Dumbarton Road</v>
      </c>
      <c r="D254" s="0" t="str">
        <f aca="false">'Raw Data'!F254</f>
        <v>NO2</v>
      </c>
      <c r="E254" s="6" t="n">
        <f aca="false">'Raw Data'!H254</f>
        <v>23.7</v>
      </c>
      <c r="F254" s="7" t="n">
        <f aca="false">IF(D254="NO2",40,18)</f>
        <v>40</v>
      </c>
      <c r="G254" s="8" t="n">
        <f aca="false">E254/F254</f>
        <v>0.5925</v>
      </c>
      <c r="H254" s="0" t="str">
        <f aca="false">IF(E254&gt;F254,"Exceedance",IF(E254&gt;=F254*0.9,"Watch","Compliant"))</f>
        <v>Compliant</v>
      </c>
    </row>
    <row r="255" customFormat="false" ht="15" hidden="false" customHeight="false" outlineLevel="0" collapsed="false">
      <c r="A255" s="0" t="str">
        <f aca="false">'Raw Data'!C255</f>
        <v>2024-08</v>
      </c>
      <c r="B255" s="0" t="str">
        <f aca="false">'Raw Data'!D255</f>
        <v>Parkhead Cross</v>
      </c>
      <c r="C255" s="0" t="str">
        <f aca="false">'Raw Data'!E255</f>
        <v>Parkhead Cross</v>
      </c>
      <c r="D255" s="0" t="str">
        <f aca="false">'Raw Data'!F255</f>
        <v>NO2</v>
      </c>
      <c r="E255" s="6" t="n">
        <f aca="false">'Raw Data'!H255</f>
        <v>23.9</v>
      </c>
      <c r="F255" s="7" t="n">
        <f aca="false">IF(D255="NO2",40,18)</f>
        <v>40</v>
      </c>
      <c r="G255" s="8" t="n">
        <f aca="false">E255/F255</f>
        <v>0.5975</v>
      </c>
      <c r="H255" s="0" t="str">
        <f aca="false">IF(E255&gt;F255,"Exceedance",IF(E255&gt;=F255*0.9,"Watch","Compliant"))</f>
        <v>Compliant</v>
      </c>
    </row>
    <row r="256" customFormat="false" ht="15" hidden="false" customHeight="false" outlineLevel="0" collapsed="false">
      <c r="A256" s="0" t="str">
        <f aca="false">'Raw Data'!C256</f>
        <v>2024-08</v>
      </c>
      <c r="B256" s="0" t="str">
        <f aca="false">'Raw Data'!D256</f>
        <v>Hope Street (kerbside)</v>
      </c>
      <c r="C256" s="0" t="str">
        <f aca="false">'Raw Data'!E256</f>
        <v>City Centre</v>
      </c>
      <c r="D256" s="0" t="str">
        <f aca="false">'Raw Data'!F256</f>
        <v>PM10</v>
      </c>
      <c r="E256" s="6" t="n">
        <f aca="false">'Raw Data'!H256</f>
        <v>15.3</v>
      </c>
      <c r="F256" s="7" t="n">
        <f aca="false">IF(D256="NO2",40,18)</f>
        <v>18</v>
      </c>
      <c r="G256" s="8" t="n">
        <f aca="false">E256/F256</f>
        <v>0.85</v>
      </c>
      <c r="H256" s="0" t="str">
        <f aca="false">IF(E256&gt;F256,"Exceedance",IF(E256&gt;=F256*0.9,"Watch","Compliant"))</f>
        <v>Compliant</v>
      </c>
    </row>
    <row r="257" customFormat="false" ht="15" hidden="false" customHeight="false" outlineLevel="0" collapsed="false">
      <c r="A257" s="0" t="str">
        <f aca="false">'Raw Data'!C257</f>
        <v>2024-08</v>
      </c>
      <c r="B257" s="0" t="str">
        <f aca="false">'Raw Data'!D257</f>
        <v>Townhead</v>
      </c>
      <c r="C257" s="0" t="str">
        <f aca="false">'Raw Data'!E257</f>
        <v>City Centre</v>
      </c>
      <c r="D257" s="0" t="str">
        <f aca="false">'Raw Data'!F257</f>
        <v>PM10</v>
      </c>
      <c r="E257" s="6" t="n">
        <f aca="false">'Raw Data'!H257</f>
        <v>13.3</v>
      </c>
      <c r="F257" s="7" t="n">
        <f aca="false">IF(D257="NO2",40,18)</f>
        <v>18</v>
      </c>
      <c r="G257" s="8" t="n">
        <f aca="false">E257/F257</f>
        <v>0.738888888888889</v>
      </c>
      <c r="H257" s="0" t="str">
        <f aca="false">IF(E257&gt;F257,"Exceedance",IF(E257&gt;=F257*0.9,"Watch","Compliant"))</f>
        <v>Compliant</v>
      </c>
    </row>
    <row r="258" customFormat="false" ht="15" hidden="false" customHeight="false" outlineLevel="0" collapsed="false">
      <c r="A258" s="0" t="str">
        <f aca="false">'Raw Data'!C258</f>
        <v>2024-09</v>
      </c>
      <c r="B258" s="0" t="str">
        <f aca="false">'Raw Data'!D258</f>
        <v>Hope Street (kerbside)</v>
      </c>
      <c r="C258" s="0" t="str">
        <f aca="false">'Raw Data'!E258</f>
        <v>City Centre</v>
      </c>
      <c r="D258" s="0" t="str">
        <f aca="false">'Raw Data'!F258</f>
        <v>NO2</v>
      </c>
      <c r="E258" s="6" t="n">
        <f aca="false">'Raw Data'!H258</f>
        <v>34</v>
      </c>
      <c r="F258" s="7" t="n">
        <f aca="false">IF(D258="NO2",40,18)</f>
        <v>40</v>
      </c>
      <c r="G258" s="8" t="n">
        <f aca="false">E258/F258</f>
        <v>0.85</v>
      </c>
      <c r="H258" s="0" t="str">
        <f aca="false">IF(E258&gt;F258,"Exceedance",IF(E258&gt;=F258*0.9,"Watch","Compliant"))</f>
        <v>Compliant</v>
      </c>
    </row>
    <row r="259" customFormat="false" ht="15" hidden="false" customHeight="false" outlineLevel="0" collapsed="false">
      <c r="A259" s="0" t="str">
        <f aca="false">'Raw Data'!C259</f>
        <v>2024-09</v>
      </c>
      <c r="B259" s="0" t="str">
        <f aca="false">'Raw Data'!D259</f>
        <v>North Street</v>
      </c>
      <c r="C259" s="0" t="str">
        <f aca="false">'Raw Data'!E259</f>
        <v>City Centre</v>
      </c>
      <c r="D259" s="0" t="str">
        <f aca="false">'Raw Data'!F259</f>
        <v>NO2</v>
      </c>
      <c r="E259" s="6" t="n">
        <f aca="false">'Raw Data'!H259</f>
        <v>30.2</v>
      </c>
      <c r="F259" s="7" t="n">
        <f aca="false">IF(D259="NO2",40,18)</f>
        <v>40</v>
      </c>
      <c r="G259" s="8" t="n">
        <f aca="false">E259/F259</f>
        <v>0.755</v>
      </c>
      <c r="H259" s="0" t="str">
        <f aca="false">IF(E259&gt;F259,"Exceedance",IF(E259&gt;=F259*0.9,"Watch","Compliant"))</f>
        <v>Compliant</v>
      </c>
    </row>
    <row r="260" customFormat="false" ht="15" hidden="false" customHeight="false" outlineLevel="0" collapsed="false">
      <c r="A260" s="0" t="str">
        <f aca="false">'Raw Data'!C260</f>
        <v>2024-09</v>
      </c>
      <c r="B260" s="0" t="str">
        <f aca="false">'Raw Data'!D260</f>
        <v>Royston Road</v>
      </c>
      <c r="C260" s="0" t="str">
        <f aca="false">'Raw Data'!E260</f>
        <v>City Centre</v>
      </c>
      <c r="D260" s="0" t="str">
        <f aca="false">'Raw Data'!F260</f>
        <v>NO2</v>
      </c>
      <c r="E260" s="6" t="n">
        <f aca="false">'Raw Data'!H260</f>
        <v>24.9</v>
      </c>
      <c r="F260" s="7" t="n">
        <f aca="false">IF(D260="NO2",40,18)</f>
        <v>40</v>
      </c>
      <c r="G260" s="8" t="n">
        <f aca="false">E260/F260</f>
        <v>0.6225</v>
      </c>
      <c r="H260" s="0" t="str">
        <f aca="false">IF(E260&gt;F260,"Exceedance",IF(E260&gt;=F260*0.9,"Watch","Compliant"))</f>
        <v>Compliant</v>
      </c>
    </row>
    <row r="261" customFormat="false" ht="15" hidden="false" customHeight="false" outlineLevel="0" collapsed="false">
      <c r="A261" s="0" t="str">
        <f aca="false">'Raw Data'!C261</f>
        <v>2024-09</v>
      </c>
      <c r="B261" s="0" t="str">
        <f aca="false">'Raw Data'!D261</f>
        <v>Dumbarton Road</v>
      </c>
      <c r="C261" s="0" t="str">
        <f aca="false">'Raw Data'!E261</f>
        <v>Byres Road/Dumbarton Road</v>
      </c>
      <c r="D261" s="0" t="str">
        <f aca="false">'Raw Data'!F261</f>
        <v>NO2</v>
      </c>
      <c r="E261" s="6" t="n">
        <f aca="false">'Raw Data'!H261</f>
        <v>28.2</v>
      </c>
      <c r="F261" s="7" t="n">
        <f aca="false">IF(D261="NO2",40,18)</f>
        <v>40</v>
      </c>
      <c r="G261" s="8" t="n">
        <f aca="false">E261/F261</f>
        <v>0.705</v>
      </c>
      <c r="H261" s="0" t="str">
        <f aca="false">IF(E261&gt;F261,"Exceedance",IF(E261&gt;=F261*0.9,"Watch","Compliant"))</f>
        <v>Compliant</v>
      </c>
    </row>
    <row r="262" customFormat="false" ht="15" hidden="false" customHeight="false" outlineLevel="0" collapsed="false">
      <c r="A262" s="0" t="str">
        <f aca="false">'Raw Data'!C262</f>
        <v>2024-09</v>
      </c>
      <c r="B262" s="0" t="str">
        <f aca="false">'Raw Data'!D262</f>
        <v>Byres Road</v>
      </c>
      <c r="C262" s="0" t="str">
        <f aca="false">'Raw Data'!E262</f>
        <v>Byres Road/Dumbarton Road</v>
      </c>
      <c r="D262" s="0" t="str">
        <f aca="false">'Raw Data'!F262</f>
        <v>NO2</v>
      </c>
      <c r="E262" s="6" t="n">
        <f aca="false">'Raw Data'!H262</f>
        <v>23.9</v>
      </c>
      <c r="F262" s="7" t="n">
        <f aca="false">IF(D262="NO2",40,18)</f>
        <v>40</v>
      </c>
      <c r="G262" s="8" t="n">
        <f aca="false">E262/F262</f>
        <v>0.5975</v>
      </c>
      <c r="H262" s="0" t="str">
        <f aca="false">IF(E262&gt;F262,"Exceedance",IF(E262&gt;=F262*0.9,"Watch","Compliant"))</f>
        <v>Compliant</v>
      </c>
    </row>
    <row r="263" customFormat="false" ht="15" hidden="false" customHeight="false" outlineLevel="0" collapsed="false">
      <c r="A263" s="0" t="str">
        <f aca="false">'Raw Data'!C263</f>
        <v>2024-09</v>
      </c>
      <c r="B263" s="0" t="str">
        <f aca="false">'Raw Data'!D263</f>
        <v>Parkhead Cross</v>
      </c>
      <c r="C263" s="0" t="str">
        <f aca="false">'Raw Data'!E263</f>
        <v>Parkhead Cross</v>
      </c>
      <c r="D263" s="0" t="str">
        <f aca="false">'Raw Data'!F263</f>
        <v>NO2</v>
      </c>
      <c r="E263" s="6" t="n">
        <f aca="false">'Raw Data'!H263</f>
        <v>25.3</v>
      </c>
      <c r="F263" s="7" t="n">
        <f aca="false">IF(D263="NO2",40,18)</f>
        <v>40</v>
      </c>
      <c r="G263" s="8" t="n">
        <f aca="false">E263/F263</f>
        <v>0.6325</v>
      </c>
      <c r="H263" s="0" t="str">
        <f aca="false">IF(E263&gt;F263,"Exceedance",IF(E263&gt;=F263*0.9,"Watch","Compliant"))</f>
        <v>Compliant</v>
      </c>
    </row>
    <row r="264" customFormat="false" ht="15" hidden="false" customHeight="false" outlineLevel="0" collapsed="false">
      <c r="A264" s="0" t="str">
        <f aca="false">'Raw Data'!C264</f>
        <v>2024-09</v>
      </c>
      <c r="B264" s="0" t="str">
        <f aca="false">'Raw Data'!D264</f>
        <v>Hope Street (kerbside)</v>
      </c>
      <c r="C264" s="0" t="str">
        <f aca="false">'Raw Data'!E264</f>
        <v>City Centre</v>
      </c>
      <c r="D264" s="0" t="str">
        <f aca="false">'Raw Data'!F264</f>
        <v>PM10</v>
      </c>
      <c r="E264" s="6" t="n">
        <f aca="false">'Raw Data'!H264</f>
        <v>16.1</v>
      </c>
      <c r="F264" s="7" t="n">
        <f aca="false">IF(D264="NO2",40,18)</f>
        <v>18</v>
      </c>
      <c r="G264" s="8" t="n">
        <f aca="false">E264/F264</f>
        <v>0.894444444444445</v>
      </c>
      <c r="H264" s="0" t="str">
        <f aca="false">IF(E264&gt;F264,"Exceedance",IF(E264&gt;=F264*0.9,"Watch","Compliant"))</f>
        <v>Compliant</v>
      </c>
    </row>
    <row r="265" customFormat="false" ht="15" hidden="false" customHeight="false" outlineLevel="0" collapsed="false">
      <c r="A265" s="0" t="str">
        <f aca="false">'Raw Data'!C265</f>
        <v>2024-09</v>
      </c>
      <c r="B265" s="0" t="str">
        <f aca="false">'Raw Data'!D265</f>
        <v>Townhead</v>
      </c>
      <c r="C265" s="0" t="str">
        <f aca="false">'Raw Data'!E265</f>
        <v>City Centre</v>
      </c>
      <c r="D265" s="0" t="str">
        <f aca="false">'Raw Data'!F265</f>
        <v>PM10</v>
      </c>
      <c r="E265" s="6" t="n">
        <f aca="false">'Raw Data'!H265</f>
        <v>13.4</v>
      </c>
      <c r="F265" s="7" t="n">
        <f aca="false">IF(D265="NO2",40,18)</f>
        <v>18</v>
      </c>
      <c r="G265" s="8" t="n">
        <f aca="false">E265/F265</f>
        <v>0.744444444444445</v>
      </c>
      <c r="H265" s="0" t="str">
        <f aca="false">IF(E265&gt;F265,"Exceedance",IF(E265&gt;=F265*0.9,"Watch","Compliant"))</f>
        <v>Compliant</v>
      </c>
    </row>
    <row r="266" customFormat="false" ht="15" hidden="false" customHeight="false" outlineLevel="0" collapsed="false">
      <c r="A266" s="0" t="str">
        <f aca="false">'Raw Data'!C266</f>
        <v>2024-10</v>
      </c>
      <c r="B266" s="0" t="str">
        <f aca="false">'Raw Data'!D266</f>
        <v>Hope Street (kerbside)</v>
      </c>
      <c r="C266" s="0" t="str">
        <f aca="false">'Raw Data'!E266</f>
        <v>City Centre</v>
      </c>
      <c r="D266" s="0" t="str">
        <f aca="false">'Raw Data'!F266</f>
        <v>NO2</v>
      </c>
      <c r="E266" s="6" t="n">
        <f aca="false">'Raw Data'!H266</f>
        <v>35.7</v>
      </c>
      <c r="F266" s="7" t="n">
        <f aca="false">IF(D266="NO2",40,18)</f>
        <v>40</v>
      </c>
      <c r="G266" s="8" t="n">
        <f aca="false">E266/F266</f>
        <v>0.8925</v>
      </c>
      <c r="H266" s="0" t="str">
        <f aca="false">IF(E266&gt;F266,"Exceedance",IF(E266&gt;=F266*0.9,"Watch","Compliant"))</f>
        <v>Compliant</v>
      </c>
    </row>
    <row r="267" customFormat="false" ht="15" hidden="false" customHeight="false" outlineLevel="0" collapsed="false">
      <c r="A267" s="0" t="str">
        <f aca="false">'Raw Data'!C267</f>
        <v>2024-10</v>
      </c>
      <c r="B267" s="0" t="str">
        <f aca="false">'Raw Data'!D267</f>
        <v>North Street</v>
      </c>
      <c r="C267" s="0" t="str">
        <f aca="false">'Raw Data'!E267</f>
        <v>City Centre</v>
      </c>
      <c r="D267" s="0" t="str">
        <f aca="false">'Raw Data'!F267</f>
        <v>NO2</v>
      </c>
      <c r="E267" s="6" t="n">
        <f aca="false">'Raw Data'!H267</f>
        <v>31.8</v>
      </c>
      <c r="F267" s="7" t="n">
        <f aca="false">IF(D267="NO2",40,18)</f>
        <v>40</v>
      </c>
      <c r="G267" s="8" t="n">
        <f aca="false">E267/F267</f>
        <v>0.795</v>
      </c>
      <c r="H267" s="0" t="str">
        <f aca="false">IF(E267&gt;F267,"Exceedance",IF(E267&gt;=F267*0.9,"Watch","Compliant"))</f>
        <v>Compliant</v>
      </c>
    </row>
    <row r="268" customFormat="false" ht="15" hidden="false" customHeight="false" outlineLevel="0" collapsed="false">
      <c r="A268" s="0" t="str">
        <f aca="false">'Raw Data'!C268</f>
        <v>2024-10</v>
      </c>
      <c r="B268" s="0" t="str">
        <f aca="false">'Raw Data'!D268</f>
        <v>Royston Road</v>
      </c>
      <c r="C268" s="0" t="str">
        <f aca="false">'Raw Data'!E268</f>
        <v>City Centre</v>
      </c>
      <c r="D268" s="0" t="str">
        <f aca="false">'Raw Data'!F268</f>
        <v>NO2</v>
      </c>
      <c r="E268" s="6" t="n">
        <f aca="false">'Raw Data'!H268</f>
        <v>27.5</v>
      </c>
      <c r="F268" s="7" t="n">
        <f aca="false">IF(D268="NO2",40,18)</f>
        <v>40</v>
      </c>
      <c r="G268" s="8" t="n">
        <f aca="false">E268/F268</f>
        <v>0.6875</v>
      </c>
      <c r="H268" s="0" t="str">
        <f aca="false">IF(E268&gt;F268,"Exceedance",IF(E268&gt;=F268*0.9,"Watch","Compliant"))</f>
        <v>Compliant</v>
      </c>
    </row>
    <row r="269" customFormat="false" ht="15" hidden="false" customHeight="false" outlineLevel="0" collapsed="false">
      <c r="A269" s="0" t="str">
        <f aca="false">'Raw Data'!C269</f>
        <v>2024-10</v>
      </c>
      <c r="B269" s="0" t="str">
        <f aca="false">'Raw Data'!D269</f>
        <v>Dumbarton Road</v>
      </c>
      <c r="C269" s="0" t="str">
        <f aca="false">'Raw Data'!E269</f>
        <v>Byres Road/Dumbarton Road</v>
      </c>
      <c r="D269" s="0" t="str">
        <f aca="false">'Raw Data'!F269</f>
        <v>NO2</v>
      </c>
      <c r="E269" s="6" t="n">
        <f aca="false">'Raw Data'!H269</f>
        <v>30.1</v>
      </c>
      <c r="F269" s="7" t="n">
        <f aca="false">IF(D269="NO2",40,18)</f>
        <v>40</v>
      </c>
      <c r="G269" s="8" t="n">
        <f aca="false">E269/F269</f>
        <v>0.7525</v>
      </c>
      <c r="H269" s="0" t="str">
        <f aca="false">IF(E269&gt;F269,"Exceedance",IF(E269&gt;=F269*0.9,"Watch","Compliant"))</f>
        <v>Compliant</v>
      </c>
    </row>
    <row r="270" customFormat="false" ht="15" hidden="false" customHeight="false" outlineLevel="0" collapsed="false">
      <c r="A270" s="0" t="str">
        <f aca="false">'Raw Data'!C270</f>
        <v>2024-10</v>
      </c>
      <c r="B270" s="0" t="str">
        <f aca="false">'Raw Data'!D270</f>
        <v>Byres Road</v>
      </c>
      <c r="C270" s="0" t="str">
        <f aca="false">'Raw Data'!E270</f>
        <v>Byres Road/Dumbarton Road</v>
      </c>
      <c r="D270" s="0" t="str">
        <f aca="false">'Raw Data'!F270</f>
        <v>NO2</v>
      </c>
      <c r="E270" s="6" t="n">
        <f aca="false">'Raw Data'!H270</f>
        <v>25.4</v>
      </c>
      <c r="F270" s="7" t="n">
        <f aca="false">IF(D270="NO2",40,18)</f>
        <v>40</v>
      </c>
      <c r="G270" s="8" t="n">
        <f aca="false">E270/F270</f>
        <v>0.635</v>
      </c>
      <c r="H270" s="0" t="str">
        <f aca="false">IF(E270&gt;F270,"Exceedance",IF(E270&gt;=F270*0.9,"Watch","Compliant"))</f>
        <v>Compliant</v>
      </c>
    </row>
    <row r="271" customFormat="false" ht="15" hidden="false" customHeight="false" outlineLevel="0" collapsed="false">
      <c r="A271" s="0" t="str">
        <f aca="false">'Raw Data'!C271</f>
        <v>2024-10</v>
      </c>
      <c r="B271" s="0" t="str">
        <f aca="false">'Raw Data'!D271</f>
        <v>Parkhead Cross</v>
      </c>
      <c r="C271" s="0" t="str">
        <f aca="false">'Raw Data'!E271</f>
        <v>Parkhead Cross</v>
      </c>
      <c r="D271" s="0" t="str">
        <f aca="false">'Raw Data'!F271</f>
        <v>NO2</v>
      </c>
      <c r="E271" s="6" t="n">
        <f aca="false">'Raw Data'!H271</f>
        <v>30.1</v>
      </c>
      <c r="F271" s="7" t="n">
        <f aca="false">IF(D271="NO2",40,18)</f>
        <v>40</v>
      </c>
      <c r="G271" s="8" t="n">
        <f aca="false">E271/F271</f>
        <v>0.7525</v>
      </c>
      <c r="H271" s="0" t="str">
        <f aca="false">IF(E271&gt;F271,"Exceedance",IF(E271&gt;=F271*0.9,"Watch","Compliant"))</f>
        <v>Compliant</v>
      </c>
    </row>
    <row r="272" customFormat="false" ht="15" hidden="false" customHeight="false" outlineLevel="0" collapsed="false">
      <c r="A272" s="0" t="str">
        <f aca="false">'Raw Data'!C272</f>
        <v>2024-10</v>
      </c>
      <c r="B272" s="0" t="str">
        <f aca="false">'Raw Data'!D272</f>
        <v>Hope Street (kerbside)</v>
      </c>
      <c r="C272" s="0" t="str">
        <f aca="false">'Raw Data'!E272</f>
        <v>City Centre</v>
      </c>
      <c r="D272" s="0" t="str">
        <f aca="false">'Raw Data'!F272</f>
        <v>PM10</v>
      </c>
      <c r="E272" s="6" t="n">
        <f aca="false">'Raw Data'!H272</f>
        <v>17.9</v>
      </c>
      <c r="F272" s="7" t="n">
        <f aca="false">IF(D272="NO2",40,18)</f>
        <v>18</v>
      </c>
      <c r="G272" s="8" t="n">
        <f aca="false">E272/F272</f>
        <v>0.994444444444444</v>
      </c>
      <c r="H272" s="0" t="str">
        <f aca="false">IF(E272&gt;F272,"Exceedance",IF(E272&gt;=F272*0.9,"Watch","Compliant"))</f>
        <v>Watch</v>
      </c>
    </row>
    <row r="273" customFormat="false" ht="15" hidden="false" customHeight="false" outlineLevel="0" collapsed="false">
      <c r="A273" s="0" t="str">
        <f aca="false">'Raw Data'!C273</f>
        <v>2024-10</v>
      </c>
      <c r="B273" s="0" t="str">
        <f aca="false">'Raw Data'!D273</f>
        <v>Townhead</v>
      </c>
      <c r="C273" s="0" t="str">
        <f aca="false">'Raw Data'!E273</f>
        <v>City Centre</v>
      </c>
      <c r="D273" s="0" t="str">
        <f aca="false">'Raw Data'!F273</f>
        <v>PM10</v>
      </c>
      <c r="E273" s="6" t="n">
        <f aca="false">'Raw Data'!H273</f>
        <v>15.3</v>
      </c>
      <c r="F273" s="7" t="n">
        <f aca="false">IF(D273="NO2",40,18)</f>
        <v>18</v>
      </c>
      <c r="G273" s="8" t="n">
        <f aca="false">E273/F273</f>
        <v>0.85</v>
      </c>
      <c r="H273" s="0" t="str">
        <f aca="false">IF(E273&gt;F273,"Exceedance",IF(E273&gt;=F273*0.9,"Watch","Compliant"))</f>
        <v>Compliant</v>
      </c>
    </row>
    <row r="274" customFormat="false" ht="15" hidden="false" customHeight="false" outlineLevel="0" collapsed="false">
      <c r="A274" s="0" t="str">
        <f aca="false">'Raw Data'!C274</f>
        <v>2024-11</v>
      </c>
      <c r="B274" s="0" t="str">
        <f aca="false">'Raw Data'!D274</f>
        <v>Hope Street (kerbside)</v>
      </c>
      <c r="C274" s="0" t="str">
        <f aca="false">'Raw Data'!E274</f>
        <v>City Centre</v>
      </c>
      <c r="D274" s="0" t="str">
        <f aca="false">'Raw Data'!F274</f>
        <v>NO2</v>
      </c>
      <c r="E274" s="6" t="n">
        <f aca="false">'Raw Data'!H274</f>
        <v>37.9</v>
      </c>
      <c r="F274" s="7" t="n">
        <f aca="false">IF(D274="NO2",40,18)</f>
        <v>40</v>
      </c>
      <c r="G274" s="8" t="n">
        <f aca="false">E274/F274</f>
        <v>0.9475</v>
      </c>
      <c r="H274" s="0" t="str">
        <f aca="false">IF(E274&gt;F274,"Exceedance",IF(E274&gt;=F274*0.9,"Watch","Compliant"))</f>
        <v>Watch</v>
      </c>
    </row>
    <row r="275" customFormat="false" ht="15" hidden="false" customHeight="false" outlineLevel="0" collapsed="false">
      <c r="A275" s="0" t="str">
        <f aca="false">'Raw Data'!C275</f>
        <v>2024-11</v>
      </c>
      <c r="B275" s="0" t="str">
        <f aca="false">'Raw Data'!D275</f>
        <v>North Street</v>
      </c>
      <c r="C275" s="0" t="str">
        <f aca="false">'Raw Data'!E275</f>
        <v>City Centre</v>
      </c>
      <c r="D275" s="0" t="str">
        <f aca="false">'Raw Data'!F275</f>
        <v>NO2</v>
      </c>
      <c r="E275" s="6" t="n">
        <f aca="false">'Raw Data'!H275</f>
        <v>34.6</v>
      </c>
      <c r="F275" s="7" t="n">
        <f aca="false">IF(D275="NO2",40,18)</f>
        <v>40</v>
      </c>
      <c r="G275" s="8" t="n">
        <f aca="false">E275/F275</f>
        <v>0.865</v>
      </c>
      <c r="H275" s="0" t="str">
        <f aca="false">IF(E275&gt;F275,"Exceedance",IF(E275&gt;=F275*0.9,"Watch","Compliant"))</f>
        <v>Compliant</v>
      </c>
    </row>
    <row r="276" customFormat="false" ht="15" hidden="false" customHeight="false" outlineLevel="0" collapsed="false">
      <c r="A276" s="0" t="str">
        <f aca="false">'Raw Data'!C276</f>
        <v>2024-11</v>
      </c>
      <c r="B276" s="0" t="str">
        <f aca="false">'Raw Data'!D276</f>
        <v>Royston Road</v>
      </c>
      <c r="C276" s="0" t="str">
        <f aca="false">'Raw Data'!E276</f>
        <v>City Centre</v>
      </c>
      <c r="D276" s="0" t="str">
        <f aca="false">'Raw Data'!F276</f>
        <v>NO2</v>
      </c>
      <c r="E276" s="6" t="n">
        <f aca="false">'Raw Data'!H276</f>
        <v>29.8</v>
      </c>
      <c r="F276" s="7" t="n">
        <f aca="false">IF(D276="NO2",40,18)</f>
        <v>40</v>
      </c>
      <c r="G276" s="8" t="n">
        <f aca="false">E276/F276</f>
        <v>0.745</v>
      </c>
      <c r="H276" s="0" t="str">
        <f aca="false">IF(E276&gt;F276,"Exceedance",IF(E276&gt;=F276*0.9,"Watch","Compliant"))</f>
        <v>Compliant</v>
      </c>
    </row>
    <row r="277" customFormat="false" ht="15" hidden="false" customHeight="false" outlineLevel="0" collapsed="false">
      <c r="A277" s="0" t="str">
        <f aca="false">'Raw Data'!C277</f>
        <v>2024-11</v>
      </c>
      <c r="B277" s="0" t="str">
        <f aca="false">'Raw Data'!D277</f>
        <v>Dumbarton Road</v>
      </c>
      <c r="C277" s="0" t="str">
        <f aca="false">'Raw Data'!E277</f>
        <v>Byres Road/Dumbarton Road</v>
      </c>
      <c r="D277" s="0" t="str">
        <f aca="false">'Raw Data'!F277</f>
        <v>NO2</v>
      </c>
      <c r="E277" s="6" t="n">
        <f aca="false">'Raw Data'!H277</f>
        <v>31.2</v>
      </c>
      <c r="F277" s="7" t="n">
        <f aca="false">IF(D277="NO2",40,18)</f>
        <v>40</v>
      </c>
      <c r="G277" s="8" t="n">
        <f aca="false">E277/F277</f>
        <v>0.78</v>
      </c>
      <c r="H277" s="0" t="str">
        <f aca="false">IF(E277&gt;F277,"Exceedance",IF(E277&gt;=F277*0.9,"Watch","Compliant"))</f>
        <v>Compliant</v>
      </c>
    </row>
    <row r="278" customFormat="false" ht="15" hidden="false" customHeight="false" outlineLevel="0" collapsed="false">
      <c r="A278" s="0" t="str">
        <f aca="false">'Raw Data'!C278</f>
        <v>2024-11</v>
      </c>
      <c r="B278" s="0" t="str">
        <f aca="false">'Raw Data'!D278</f>
        <v>Byres Road</v>
      </c>
      <c r="C278" s="0" t="str">
        <f aca="false">'Raw Data'!E278</f>
        <v>Byres Road/Dumbarton Road</v>
      </c>
      <c r="D278" s="0" t="str">
        <f aca="false">'Raw Data'!F278</f>
        <v>NO2</v>
      </c>
      <c r="E278" s="6" t="n">
        <f aca="false">'Raw Data'!H278</f>
        <v>29.8</v>
      </c>
      <c r="F278" s="7" t="n">
        <f aca="false">IF(D278="NO2",40,18)</f>
        <v>40</v>
      </c>
      <c r="G278" s="8" t="n">
        <f aca="false">E278/F278</f>
        <v>0.745</v>
      </c>
      <c r="H278" s="0" t="str">
        <f aca="false">IF(E278&gt;F278,"Exceedance",IF(E278&gt;=F278*0.9,"Watch","Compliant"))</f>
        <v>Compliant</v>
      </c>
    </row>
    <row r="279" customFormat="false" ht="15" hidden="false" customHeight="false" outlineLevel="0" collapsed="false">
      <c r="A279" s="0" t="str">
        <f aca="false">'Raw Data'!C279</f>
        <v>2024-11</v>
      </c>
      <c r="B279" s="0" t="str">
        <f aca="false">'Raw Data'!D279</f>
        <v>Parkhead Cross</v>
      </c>
      <c r="C279" s="0" t="str">
        <f aca="false">'Raw Data'!E279</f>
        <v>Parkhead Cross</v>
      </c>
      <c r="D279" s="0" t="str">
        <f aca="false">'Raw Data'!F279</f>
        <v>NO2</v>
      </c>
      <c r="E279" s="6" t="n">
        <f aca="false">'Raw Data'!H279</f>
        <v>31.7</v>
      </c>
      <c r="F279" s="7" t="n">
        <f aca="false">IF(D279="NO2",40,18)</f>
        <v>40</v>
      </c>
      <c r="G279" s="8" t="n">
        <f aca="false">E279/F279</f>
        <v>0.7925</v>
      </c>
      <c r="H279" s="0" t="str">
        <f aca="false">IF(E279&gt;F279,"Exceedance",IF(E279&gt;=F279*0.9,"Watch","Compliant"))</f>
        <v>Compliant</v>
      </c>
    </row>
    <row r="280" customFormat="false" ht="15" hidden="false" customHeight="false" outlineLevel="0" collapsed="false">
      <c r="A280" s="0" t="str">
        <f aca="false">'Raw Data'!C280</f>
        <v>2024-11</v>
      </c>
      <c r="B280" s="0" t="str">
        <f aca="false">'Raw Data'!D280</f>
        <v>Hope Street (kerbside)</v>
      </c>
      <c r="C280" s="0" t="str">
        <f aca="false">'Raw Data'!E280</f>
        <v>City Centre</v>
      </c>
      <c r="D280" s="0" t="str">
        <f aca="false">'Raw Data'!F280</f>
        <v>PM10</v>
      </c>
      <c r="E280" s="6" t="n">
        <f aca="false">'Raw Data'!H280</f>
        <v>18.8</v>
      </c>
      <c r="F280" s="7" t="n">
        <f aca="false">IF(D280="NO2",40,18)</f>
        <v>18</v>
      </c>
      <c r="G280" s="8" t="n">
        <f aca="false">E280/F280</f>
        <v>1.04444444444444</v>
      </c>
      <c r="H280" s="0" t="str">
        <f aca="false">IF(E280&gt;F280,"Exceedance",IF(E280&gt;=F280*0.9,"Watch","Compliant"))</f>
        <v>Exceedance</v>
      </c>
    </row>
    <row r="281" customFormat="false" ht="15" hidden="false" customHeight="false" outlineLevel="0" collapsed="false">
      <c r="A281" s="0" t="str">
        <f aca="false">'Raw Data'!C281</f>
        <v>2024-11</v>
      </c>
      <c r="B281" s="0" t="str">
        <f aca="false">'Raw Data'!D281</f>
        <v>Townhead</v>
      </c>
      <c r="C281" s="0" t="str">
        <f aca="false">'Raw Data'!E281</f>
        <v>City Centre</v>
      </c>
      <c r="D281" s="0" t="str">
        <f aca="false">'Raw Data'!F281</f>
        <v>PM10</v>
      </c>
      <c r="E281" s="6" t="n">
        <f aca="false">'Raw Data'!H281</f>
        <v>16</v>
      </c>
      <c r="F281" s="7" t="n">
        <f aca="false">IF(D281="NO2",40,18)</f>
        <v>18</v>
      </c>
      <c r="G281" s="8" t="n">
        <f aca="false">E281/F281</f>
        <v>0.888888888888889</v>
      </c>
      <c r="H281" s="0" t="str">
        <f aca="false">IF(E281&gt;F281,"Exceedance",IF(E281&gt;=F281*0.9,"Watch","Compliant"))</f>
        <v>Compliant</v>
      </c>
    </row>
    <row r="282" customFormat="false" ht="15" hidden="false" customHeight="false" outlineLevel="0" collapsed="false">
      <c r="A282" s="0" t="str">
        <f aca="false">'Raw Data'!C282</f>
        <v>2024-12</v>
      </c>
      <c r="B282" s="0" t="str">
        <f aca="false">'Raw Data'!D282</f>
        <v>Hope Street (kerbside)</v>
      </c>
      <c r="C282" s="0" t="str">
        <f aca="false">'Raw Data'!E282</f>
        <v>City Centre</v>
      </c>
      <c r="D282" s="0" t="str">
        <f aca="false">'Raw Data'!F282</f>
        <v>NO2</v>
      </c>
      <c r="E282" s="6" t="n">
        <f aca="false">'Raw Data'!H282</f>
        <v>40.3</v>
      </c>
      <c r="F282" s="7" t="n">
        <f aca="false">IF(D282="NO2",40,18)</f>
        <v>40</v>
      </c>
      <c r="G282" s="8" t="n">
        <f aca="false">E282/F282</f>
        <v>1.0075</v>
      </c>
      <c r="H282" s="0" t="str">
        <f aca="false">IF(E282&gt;F282,"Exceedance",IF(E282&gt;=F282*0.9,"Watch","Compliant"))</f>
        <v>Exceedance</v>
      </c>
    </row>
    <row r="283" customFormat="false" ht="15" hidden="false" customHeight="false" outlineLevel="0" collapsed="false">
      <c r="A283" s="0" t="str">
        <f aca="false">'Raw Data'!C283</f>
        <v>2024-12</v>
      </c>
      <c r="B283" s="0" t="str">
        <f aca="false">'Raw Data'!D283</f>
        <v>North Street</v>
      </c>
      <c r="C283" s="0" t="str">
        <f aca="false">'Raw Data'!E283</f>
        <v>City Centre</v>
      </c>
      <c r="D283" s="0" t="str">
        <f aca="false">'Raw Data'!F283</f>
        <v>NO2</v>
      </c>
      <c r="E283" s="6" t="n">
        <f aca="false">'Raw Data'!H283</f>
        <v>36.1</v>
      </c>
      <c r="F283" s="7" t="n">
        <f aca="false">IF(D283="NO2",40,18)</f>
        <v>40</v>
      </c>
      <c r="G283" s="8" t="n">
        <f aca="false">E283/F283</f>
        <v>0.9025</v>
      </c>
      <c r="H283" s="0" t="str">
        <f aca="false">IF(E283&gt;F283,"Exceedance",IF(E283&gt;=F283*0.9,"Watch","Compliant"))</f>
        <v>Watch</v>
      </c>
    </row>
    <row r="284" customFormat="false" ht="15" hidden="false" customHeight="false" outlineLevel="0" collapsed="false">
      <c r="A284" s="0" t="str">
        <f aca="false">'Raw Data'!C284</f>
        <v>2024-12</v>
      </c>
      <c r="B284" s="0" t="str">
        <f aca="false">'Raw Data'!D284</f>
        <v>Royston Road</v>
      </c>
      <c r="C284" s="0" t="str">
        <f aca="false">'Raw Data'!E284</f>
        <v>City Centre</v>
      </c>
      <c r="D284" s="0" t="str">
        <f aca="false">'Raw Data'!F284</f>
        <v>NO2</v>
      </c>
      <c r="E284" s="6" t="n">
        <f aca="false">'Raw Data'!H284</f>
        <v>33.9</v>
      </c>
      <c r="F284" s="7" t="n">
        <f aca="false">IF(D284="NO2",40,18)</f>
        <v>40</v>
      </c>
      <c r="G284" s="8" t="n">
        <f aca="false">E284/F284</f>
        <v>0.8475</v>
      </c>
      <c r="H284" s="0" t="str">
        <f aca="false">IF(E284&gt;F284,"Exceedance",IF(E284&gt;=F284*0.9,"Watch","Compliant"))</f>
        <v>Compliant</v>
      </c>
    </row>
    <row r="285" customFormat="false" ht="15" hidden="false" customHeight="false" outlineLevel="0" collapsed="false">
      <c r="A285" s="0" t="str">
        <f aca="false">'Raw Data'!C285</f>
        <v>2024-12</v>
      </c>
      <c r="B285" s="0" t="str">
        <f aca="false">'Raw Data'!D285</f>
        <v>Dumbarton Road</v>
      </c>
      <c r="C285" s="0" t="str">
        <f aca="false">'Raw Data'!E285</f>
        <v>Byres Road/Dumbarton Road</v>
      </c>
      <c r="D285" s="0" t="str">
        <f aca="false">'Raw Data'!F285</f>
        <v>NO2</v>
      </c>
      <c r="E285" s="6" t="n">
        <f aca="false">'Raw Data'!H285</f>
        <v>34.7</v>
      </c>
      <c r="F285" s="7" t="n">
        <f aca="false">IF(D285="NO2",40,18)</f>
        <v>40</v>
      </c>
      <c r="G285" s="8" t="n">
        <f aca="false">E285/F285</f>
        <v>0.8675</v>
      </c>
      <c r="H285" s="0" t="str">
        <f aca="false">IF(E285&gt;F285,"Exceedance",IF(E285&gt;=F285*0.9,"Watch","Compliant"))</f>
        <v>Compliant</v>
      </c>
    </row>
    <row r="286" customFormat="false" ht="15" hidden="false" customHeight="false" outlineLevel="0" collapsed="false">
      <c r="A286" s="0" t="str">
        <f aca="false">'Raw Data'!C286</f>
        <v>2024-12</v>
      </c>
      <c r="B286" s="0" t="str">
        <f aca="false">'Raw Data'!D286</f>
        <v>Byres Road</v>
      </c>
      <c r="C286" s="0" t="str">
        <f aca="false">'Raw Data'!E286</f>
        <v>Byres Road/Dumbarton Road</v>
      </c>
      <c r="D286" s="0" t="str">
        <f aca="false">'Raw Data'!F286</f>
        <v>NO2</v>
      </c>
      <c r="E286" s="6" t="n">
        <f aca="false">'Raw Data'!H286</f>
        <v>32.1</v>
      </c>
      <c r="F286" s="7" t="n">
        <f aca="false">IF(D286="NO2",40,18)</f>
        <v>40</v>
      </c>
      <c r="G286" s="8" t="n">
        <f aca="false">E286/F286</f>
        <v>0.8025</v>
      </c>
      <c r="H286" s="0" t="str">
        <f aca="false">IF(E286&gt;F286,"Exceedance",IF(E286&gt;=F286*0.9,"Watch","Compliant"))</f>
        <v>Compliant</v>
      </c>
    </row>
    <row r="287" customFormat="false" ht="15" hidden="false" customHeight="false" outlineLevel="0" collapsed="false">
      <c r="A287" s="0" t="str">
        <f aca="false">'Raw Data'!C287</f>
        <v>2024-12</v>
      </c>
      <c r="B287" s="0" t="str">
        <f aca="false">'Raw Data'!D287</f>
        <v>Parkhead Cross</v>
      </c>
      <c r="C287" s="0" t="str">
        <f aca="false">'Raw Data'!E287</f>
        <v>Parkhead Cross</v>
      </c>
      <c r="D287" s="0" t="str">
        <f aca="false">'Raw Data'!F287</f>
        <v>NO2</v>
      </c>
      <c r="E287" s="6" t="n">
        <f aca="false">'Raw Data'!H287</f>
        <v>33.6</v>
      </c>
      <c r="F287" s="7" t="n">
        <f aca="false">IF(D287="NO2",40,18)</f>
        <v>40</v>
      </c>
      <c r="G287" s="8" t="n">
        <f aca="false">E287/F287</f>
        <v>0.84</v>
      </c>
      <c r="H287" s="0" t="str">
        <f aca="false">IF(E287&gt;F287,"Exceedance",IF(E287&gt;=F287*0.9,"Watch","Compliant"))</f>
        <v>Compliant</v>
      </c>
    </row>
    <row r="288" customFormat="false" ht="15" hidden="false" customHeight="false" outlineLevel="0" collapsed="false">
      <c r="A288" s="0" t="str">
        <f aca="false">'Raw Data'!C288</f>
        <v>2024-12</v>
      </c>
      <c r="B288" s="0" t="str">
        <f aca="false">'Raw Data'!D288</f>
        <v>Hope Street (kerbside)</v>
      </c>
      <c r="C288" s="0" t="str">
        <f aca="false">'Raw Data'!E288</f>
        <v>City Centre</v>
      </c>
      <c r="D288" s="0" t="str">
        <f aca="false">'Raw Data'!F288</f>
        <v>PM10</v>
      </c>
      <c r="E288" s="6" t="n">
        <f aca="false">'Raw Data'!H288</f>
        <v>20.1</v>
      </c>
      <c r="F288" s="7" t="n">
        <f aca="false">IF(D288="NO2",40,18)</f>
        <v>18</v>
      </c>
      <c r="G288" s="8" t="n">
        <f aca="false">E288/F288</f>
        <v>1.11666666666667</v>
      </c>
      <c r="H288" s="0" t="str">
        <f aca="false">IF(E288&gt;F288,"Exceedance",IF(E288&gt;=F288*0.9,"Watch","Compliant"))</f>
        <v>Exceedance</v>
      </c>
    </row>
    <row r="289" customFormat="false" ht="15" hidden="false" customHeight="false" outlineLevel="0" collapsed="false">
      <c r="A289" s="0" t="str">
        <f aca="false">'Raw Data'!C289</f>
        <v>2024-12</v>
      </c>
      <c r="B289" s="0" t="str">
        <f aca="false">'Raw Data'!D289</f>
        <v>Townhead</v>
      </c>
      <c r="C289" s="0" t="str">
        <f aca="false">'Raw Data'!E289</f>
        <v>City Centre</v>
      </c>
      <c r="D289" s="0" t="str">
        <f aca="false">'Raw Data'!F289</f>
        <v>PM10</v>
      </c>
      <c r="E289" s="6" t="n">
        <f aca="false">'Raw Data'!H289</f>
        <v>16.4</v>
      </c>
      <c r="F289" s="7" t="n">
        <f aca="false">IF(D289="NO2",40,18)</f>
        <v>18</v>
      </c>
      <c r="G289" s="8" t="n">
        <f aca="false">E289/F289</f>
        <v>0.911111111111111</v>
      </c>
      <c r="H289" s="0" t="str">
        <f aca="false">IF(E289&gt;F289,"Exceedance",IF(E289&gt;=F289*0.9,"Watch","Compliant"))</f>
        <v>Watch</v>
      </c>
    </row>
    <row r="290" customFormat="false" ht="15" hidden="false" customHeight="false" outlineLevel="0" collapsed="false">
      <c r="A290" s="0" t="str">
        <f aca="false">'Raw Data'!C290</f>
        <v>2025-01</v>
      </c>
      <c r="B290" s="0" t="str">
        <f aca="false">'Raw Data'!D290</f>
        <v>Hope Street (kerbside)</v>
      </c>
      <c r="C290" s="0" t="str">
        <f aca="false">'Raw Data'!E290</f>
        <v>City Centre</v>
      </c>
      <c r="D290" s="0" t="str">
        <f aca="false">'Raw Data'!F290</f>
        <v>NO2</v>
      </c>
      <c r="E290" s="6" t="n">
        <f aca="false">'Raw Data'!H290</f>
        <v>37.8</v>
      </c>
      <c r="F290" s="7" t="n">
        <f aca="false">IF(D290="NO2",40,18)</f>
        <v>40</v>
      </c>
      <c r="G290" s="8" t="n">
        <f aca="false">E290/F290</f>
        <v>0.945</v>
      </c>
      <c r="H290" s="0" t="str">
        <f aca="false">IF(E290&gt;F290,"Exceedance",IF(E290&gt;=F290*0.9,"Watch","Compliant"))</f>
        <v>Watch</v>
      </c>
    </row>
    <row r="291" customFormat="false" ht="15" hidden="false" customHeight="false" outlineLevel="0" collapsed="false">
      <c r="A291" s="0" t="str">
        <f aca="false">'Raw Data'!C291</f>
        <v>2025-01</v>
      </c>
      <c r="B291" s="0" t="str">
        <f aca="false">'Raw Data'!D291</f>
        <v>North Street</v>
      </c>
      <c r="C291" s="0" t="str">
        <f aca="false">'Raw Data'!E291</f>
        <v>City Centre</v>
      </c>
      <c r="D291" s="0" t="str">
        <f aca="false">'Raw Data'!F291</f>
        <v>NO2</v>
      </c>
      <c r="E291" s="6" t="n">
        <f aca="false">'Raw Data'!H291</f>
        <v>34.2</v>
      </c>
      <c r="F291" s="7" t="n">
        <f aca="false">IF(D291="NO2",40,18)</f>
        <v>40</v>
      </c>
      <c r="G291" s="8" t="n">
        <f aca="false">E291/F291</f>
        <v>0.855</v>
      </c>
      <c r="H291" s="0" t="str">
        <f aca="false">IF(E291&gt;F291,"Exceedance",IF(E291&gt;=F291*0.9,"Watch","Compliant"))</f>
        <v>Compliant</v>
      </c>
    </row>
    <row r="292" customFormat="false" ht="15" hidden="false" customHeight="false" outlineLevel="0" collapsed="false">
      <c r="A292" s="0" t="str">
        <f aca="false">'Raw Data'!C292</f>
        <v>2025-01</v>
      </c>
      <c r="B292" s="0" t="str">
        <f aca="false">'Raw Data'!D292</f>
        <v>Royston Road</v>
      </c>
      <c r="C292" s="0" t="str">
        <f aca="false">'Raw Data'!E292</f>
        <v>City Centre</v>
      </c>
      <c r="D292" s="0" t="str">
        <f aca="false">'Raw Data'!F292</f>
        <v>NO2</v>
      </c>
      <c r="E292" s="6" t="n">
        <f aca="false">'Raw Data'!H292</f>
        <v>29.9</v>
      </c>
      <c r="F292" s="7" t="n">
        <f aca="false">IF(D292="NO2",40,18)</f>
        <v>40</v>
      </c>
      <c r="G292" s="8" t="n">
        <f aca="false">E292/F292</f>
        <v>0.7475</v>
      </c>
      <c r="H292" s="0" t="str">
        <f aca="false">IF(E292&gt;F292,"Exceedance",IF(E292&gt;=F292*0.9,"Watch","Compliant"))</f>
        <v>Compliant</v>
      </c>
    </row>
    <row r="293" customFormat="false" ht="15" hidden="false" customHeight="false" outlineLevel="0" collapsed="false">
      <c r="A293" s="0" t="str">
        <f aca="false">'Raw Data'!C293</f>
        <v>2025-01</v>
      </c>
      <c r="B293" s="0" t="str">
        <f aca="false">'Raw Data'!D293</f>
        <v>Dumbarton Road</v>
      </c>
      <c r="C293" s="0" t="str">
        <f aca="false">'Raw Data'!E293</f>
        <v>Byres Road/Dumbarton Road</v>
      </c>
      <c r="D293" s="0" t="str">
        <f aca="false">'Raw Data'!F293</f>
        <v>NO2</v>
      </c>
      <c r="E293" s="6" t="n">
        <f aca="false">'Raw Data'!H293</f>
        <v>31.3</v>
      </c>
      <c r="F293" s="7" t="n">
        <f aca="false">IF(D293="NO2",40,18)</f>
        <v>40</v>
      </c>
      <c r="G293" s="8" t="n">
        <f aca="false">E293/F293</f>
        <v>0.7825</v>
      </c>
      <c r="H293" s="0" t="str">
        <f aca="false">IF(E293&gt;F293,"Exceedance",IF(E293&gt;=F293*0.9,"Watch","Compliant"))</f>
        <v>Compliant</v>
      </c>
    </row>
    <row r="294" customFormat="false" ht="15" hidden="false" customHeight="false" outlineLevel="0" collapsed="false">
      <c r="A294" s="0" t="str">
        <f aca="false">'Raw Data'!C294</f>
        <v>2025-01</v>
      </c>
      <c r="B294" s="0" t="str">
        <f aca="false">'Raw Data'!D294</f>
        <v>Byres Road</v>
      </c>
      <c r="C294" s="0" t="str">
        <f aca="false">'Raw Data'!E294</f>
        <v>Byres Road/Dumbarton Road</v>
      </c>
      <c r="D294" s="0" t="str">
        <f aca="false">'Raw Data'!F294</f>
        <v>NO2</v>
      </c>
      <c r="E294" s="6" t="n">
        <f aca="false">'Raw Data'!H294</f>
        <v>27.7</v>
      </c>
      <c r="F294" s="7" t="n">
        <f aca="false">IF(D294="NO2",40,18)</f>
        <v>40</v>
      </c>
      <c r="G294" s="8" t="n">
        <f aca="false">E294/F294</f>
        <v>0.6925</v>
      </c>
      <c r="H294" s="0" t="str">
        <f aca="false">IF(E294&gt;F294,"Exceedance",IF(E294&gt;=F294*0.9,"Watch","Compliant"))</f>
        <v>Compliant</v>
      </c>
    </row>
    <row r="295" customFormat="false" ht="15" hidden="false" customHeight="false" outlineLevel="0" collapsed="false">
      <c r="A295" s="0" t="str">
        <f aca="false">'Raw Data'!C295</f>
        <v>2025-01</v>
      </c>
      <c r="B295" s="0" t="str">
        <f aca="false">'Raw Data'!D295</f>
        <v>Parkhead Cross</v>
      </c>
      <c r="C295" s="0" t="str">
        <f aca="false">'Raw Data'!E295</f>
        <v>Parkhead Cross</v>
      </c>
      <c r="D295" s="0" t="str">
        <f aca="false">'Raw Data'!F295</f>
        <v>NO2</v>
      </c>
      <c r="E295" s="6" t="n">
        <f aca="false">'Raw Data'!H295</f>
        <v>30.6</v>
      </c>
      <c r="F295" s="7" t="n">
        <f aca="false">IF(D295="NO2",40,18)</f>
        <v>40</v>
      </c>
      <c r="G295" s="8" t="n">
        <f aca="false">E295/F295</f>
        <v>0.765</v>
      </c>
      <c r="H295" s="0" t="str">
        <f aca="false">IF(E295&gt;F295,"Exceedance",IF(E295&gt;=F295*0.9,"Watch","Compliant"))</f>
        <v>Compliant</v>
      </c>
    </row>
    <row r="296" customFormat="false" ht="15" hidden="false" customHeight="false" outlineLevel="0" collapsed="false">
      <c r="A296" s="0" t="str">
        <f aca="false">'Raw Data'!C296</f>
        <v>2025-01</v>
      </c>
      <c r="B296" s="0" t="str">
        <f aca="false">'Raw Data'!D296</f>
        <v>Hope Street (kerbside)</v>
      </c>
      <c r="C296" s="0" t="str">
        <f aca="false">'Raw Data'!E296</f>
        <v>City Centre</v>
      </c>
      <c r="D296" s="0" t="str">
        <f aca="false">'Raw Data'!F296</f>
        <v>PM10</v>
      </c>
      <c r="E296" s="6" t="n">
        <f aca="false">'Raw Data'!H296</f>
        <v>20.5</v>
      </c>
      <c r="F296" s="7" t="n">
        <f aca="false">IF(D296="NO2",40,18)</f>
        <v>18</v>
      </c>
      <c r="G296" s="8" t="n">
        <f aca="false">E296/F296</f>
        <v>1.13888888888889</v>
      </c>
      <c r="H296" s="0" t="str">
        <f aca="false">IF(E296&gt;F296,"Exceedance",IF(E296&gt;=F296*0.9,"Watch","Compliant"))</f>
        <v>Exceedance</v>
      </c>
    </row>
    <row r="297" customFormat="false" ht="15" hidden="false" customHeight="false" outlineLevel="0" collapsed="false">
      <c r="A297" s="0" t="str">
        <f aca="false">'Raw Data'!C297</f>
        <v>2025-01</v>
      </c>
      <c r="B297" s="0" t="str">
        <f aca="false">'Raw Data'!D297</f>
        <v>Townhead</v>
      </c>
      <c r="C297" s="0" t="str">
        <f aca="false">'Raw Data'!E297</f>
        <v>City Centre</v>
      </c>
      <c r="D297" s="0" t="str">
        <f aca="false">'Raw Data'!F297</f>
        <v>PM10</v>
      </c>
      <c r="E297" s="6" t="n">
        <f aca="false">'Raw Data'!H297</f>
        <v>16.1</v>
      </c>
      <c r="F297" s="7" t="n">
        <f aca="false">IF(D297="NO2",40,18)</f>
        <v>18</v>
      </c>
      <c r="G297" s="8" t="n">
        <f aca="false">E297/F297</f>
        <v>0.894444444444445</v>
      </c>
      <c r="H297" s="0" t="str">
        <f aca="false">IF(E297&gt;F297,"Exceedance",IF(E297&gt;=F297*0.9,"Watch","Compliant"))</f>
        <v>Compliant</v>
      </c>
    </row>
    <row r="298" customFormat="false" ht="15" hidden="false" customHeight="false" outlineLevel="0" collapsed="false">
      <c r="A298" s="0" t="str">
        <f aca="false">'Raw Data'!C298</f>
        <v>2025-02</v>
      </c>
      <c r="B298" s="0" t="str">
        <f aca="false">'Raw Data'!D298</f>
        <v>Hope Street (kerbside)</v>
      </c>
      <c r="C298" s="0" t="str">
        <f aca="false">'Raw Data'!E298</f>
        <v>City Centre</v>
      </c>
      <c r="D298" s="0" t="str">
        <f aca="false">'Raw Data'!F298</f>
        <v>NO2</v>
      </c>
      <c r="E298" s="6" t="n">
        <f aca="false">'Raw Data'!H298</f>
        <v>36.8</v>
      </c>
      <c r="F298" s="7" t="n">
        <f aca="false">IF(D298="NO2",40,18)</f>
        <v>40</v>
      </c>
      <c r="G298" s="8" t="n">
        <f aca="false">E298/F298</f>
        <v>0.92</v>
      </c>
      <c r="H298" s="0" t="str">
        <f aca="false">IF(E298&gt;F298,"Exceedance",IF(E298&gt;=F298*0.9,"Watch","Compliant"))</f>
        <v>Watch</v>
      </c>
    </row>
    <row r="299" customFormat="false" ht="15" hidden="false" customHeight="false" outlineLevel="0" collapsed="false">
      <c r="A299" s="0" t="str">
        <f aca="false">'Raw Data'!C299</f>
        <v>2025-02</v>
      </c>
      <c r="B299" s="0" t="str">
        <f aca="false">'Raw Data'!D299</f>
        <v>North Street</v>
      </c>
      <c r="C299" s="0" t="str">
        <f aca="false">'Raw Data'!E299</f>
        <v>City Centre</v>
      </c>
      <c r="D299" s="0" t="str">
        <f aca="false">'Raw Data'!F299</f>
        <v>NO2</v>
      </c>
      <c r="E299" s="6" t="n">
        <f aca="false">'Raw Data'!H299</f>
        <v>32</v>
      </c>
      <c r="F299" s="7" t="n">
        <f aca="false">IF(D299="NO2",40,18)</f>
        <v>40</v>
      </c>
      <c r="G299" s="8" t="n">
        <f aca="false">E299/F299</f>
        <v>0.8</v>
      </c>
      <c r="H299" s="0" t="str">
        <f aca="false">IF(E299&gt;F299,"Exceedance",IF(E299&gt;=F299*0.9,"Watch","Compliant"))</f>
        <v>Compliant</v>
      </c>
    </row>
    <row r="300" customFormat="false" ht="15" hidden="false" customHeight="false" outlineLevel="0" collapsed="false">
      <c r="A300" s="0" t="str">
        <f aca="false">'Raw Data'!C300</f>
        <v>2025-02</v>
      </c>
      <c r="B300" s="0" t="str">
        <f aca="false">'Raw Data'!D300</f>
        <v>Royston Road</v>
      </c>
      <c r="C300" s="0" t="str">
        <f aca="false">'Raw Data'!E300</f>
        <v>City Centre</v>
      </c>
      <c r="D300" s="0" t="str">
        <f aca="false">'Raw Data'!F300</f>
        <v>NO2</v>
      </c>
      <c r="E300" s="6" t="n">
        <f aca="false">'Raw Data'!H300</f>
        <v>29.9</v>
      </c>
      <c r="F300" s="7" t="n">
        <f aca="false">IF(D300="NO2",40,18)</f>
        <v>40</v>
      </c>
      <c r="G300" s="8" t="n">
        <f aca="false">E300/F300</f>
        <v>0.7475</v>
      </c>
      <c r="H300" s="0" t="str">
        <f aca="false">IF(E300&gt;F300,"Exceedance",IF(E300&gt;=F300*0.9,"Watch","Compliant"))</f>
        <v>Compliant</v>
      </c>
    </row>
    <row r="301" customFormat="false" ht="15" hidden="false" customHeight="false" outlineLevel="0" collapsed="false">
      <c r="A301" s="0" t="str">
        <f aca="false">'Raw Data'!C301</f>
        <v>2025-02</v>
      </c>
      <c r="B301" s="0" t="str">
        <f aca="false">'Raw Data'!D301</f>
        <v>Dumbarton Road</v>
      </c>
      <c r="C301" s="0" t="str">
        <f aca="false">'Raw Data'!E301</f>
        <v>Byres Road/Dumbarton Road</v>
      </c>
      <c r="D301" s="0" t="str">
        <f aca="false">'Raw Data'!F301</f>
        <v>NO2</v>
      </c>
      <c r="E301" s="6" t="n">
        <f aca="false">'Raw Data'!H301</f>
        <v>31.2</v>
      </c>
      <c r="F301" s="7" t="n">
        <f aca="false">IF(D301="NO2",40,18)</f>
        <v>40</v>
      </c>
      <c r="G301" s="8" t="n">
        <f aca="false">E301/F301</f>
        <v>0.78</v>
      </c>
      <c r="H301" s="0" t="str">
        <f aca="false">IF(E301&gt;F301,"Exceedance",IF(E301&gt;=F301*0.9,"Watch","Compliant"))</f>
        <v>Compliant</v>
      </c>
    </row>
    <row r="302" customFormat="false" ht="15" hidden="false" customHeight="false" outlineLevel="0" collapsed="false">
      <c r="A302" s="0" t="str">
        <f aca="false">'Raw Data'!C302</f>
        <v>2025-02</v>
      </c>
      <c r="B302" s="0" t="str">
        <f aca="false">'Raw Data'!D302</f>
        <v>Byres Road</v>
      </c>
      <c r="C302" s="0" t="str">
        <f aca="false">'Raw Data'!E302</f>
        <v>Byres Road/Dumbarton Road</v>
      </c>
      <c r="D302" s="0" t="str">
        <f aca="false">'Raw Data'!F302</f>
        <v>NO2</v>
      </c>
      <c r="E302" s="6" t="n">
        <f aca="false">'Raw Data'!H302</f>
        <v>28</v>
      </c>
      <c r="F302" s="7" t="n">
        <f aca="false">IF(D302="NO2",40,18)</f>
        <v>40</v>
      </c>
      <c r="G302" s="8" t="n">
        <f aca="false">E302/F302</f>
        <v>0.7</v>
      </c>
      <c r="H302" s="0" t="str">
        <f aca="false">IF(E302&gt;F302,"Exceedance",IF(E302&gt;=F302*0.9,"Watch","Compliant"))</f>
        <v>Compliant</v>
      </c>
    </row>
    <row r="303" customFormat="false" ht="15" hidden="false" customHeight="false" outlineLevel="0" collapsed="false">
      <c r="A303" s="0" t="str">
        <f aca="false">'Raw Data'!C303</f>
        <v>2025-02</v>
      </c>
      <c r="B303" s="0" t="str">
        <f aca="false">'Raw Data'!D303</f>
        <v>Parkhead Cross</v>
      </c>
      <c r="C303" s="0" t="str">
        <f aca="false">'Raw Data'!E303</f>
        <v>Parkhead Cross</v>
      </c>
      <c r="D303" s="0" t="str">
        <f aca="false">'Raw Data'!F303</f>
        <v>NO2</v>
      </c>
      <c r="E303" s="6" t="n">
        <f aca="false">'Raw Data'!H303</f>
        <v>28.9</v>
      </c>
      <c r="F303" s="7" t="n">
        <f aca="false">IF(D303="NO2",40,18)</f>
        <v>40</v>
      </c>
      <c r="G303" s="8" t="n">
        <f aca="false">E303/F303</f>
        <v>0.7225</v>
      </c>
      <c r="H303" s="0" t="str">
        <f aca="false">IF(E303&gt;F303,"Exceedance",IF(E303&gt;=F303*0.9,"Watch","Compliant"))</f>
        <v>Compliant</v>
      </c>
    </row>
    <row r="304" customFormat="false" ht="15" hidden="false" customHeight="false" outlineLevel="0" collapsed="false">
      <c r="A304" s="0" t="str">
        <f aca="false">'Raw Data'!C304</f>
        <v>2025-02</v>
      </c>
      <c r="B304" s="0" t="str">
        <f aca="false">'Raw Data'!D304</f>
        <v>Hope Street (kerbside)</v>
      </c>
      <c r="C304" s="0" t="str">
        <f aca="false">'Raw Data'!E304</f>
        <v>City Centre</v>
      </c>
      <c r="D304" s="0" t="str">
        <f aca="false">'Raw Data'!F304</f>
        <v>PM10</v>
      </c>
      <c r="E304" s="6" t="n">
        <f aca="false">'Raw Data'!H304</f>
        <v>18.5</v>
      </c>
      <c r="F304" s="7" t="n">
        <f aca="false">IF(D304="NO2",40,18)</f>
        <v>18</v>
      </c>
      <c r="G304" s="8" t="n">
        <f aca="false">E304/F304</f>
        <v>1.02777777777778</v>
      </c>
      <c r="H304" s="0" t="str">
        <f aca="false">IF(E304&gt;F304,"Exceedance",IF(E304&gt;=F304*0.9,"Watch","Compliant"))</f>
        <v>Exceedance</v>
      </c>
    </row>
    <row r="305" customFormat="false" ht="15" hidden="false" customHeight="false" outlineLevel="0" collapsed="false">
      <c r="A305" s="0" t="str">
        <f aca="false">'Raw Data'!C305</f>
        <v>2025-02</v>
      </c>
      <c r="B305" s="0" t="str">
        <f aca="false">'Raw Data'!D305</f>
        <v>Townhead</v>
      </c>
      <c r="C305" s="0" t="str">
        <f aca="false">'Raw Data'!E305</f>
        <v>City Centre</v>
      </c>
      <c r="D305" s="0" t="str">
        <f aca="false">'Raw Data'!F305</f>
        <v>PM10</v>
      </c>
      <c r="E305" s="6" t="n">
        <f aca="false">'Raw Data'!H305</f>
        <v>15.6</v>
      </c>
      <c r="F305" s="7" t="n">
        <f aca="false">IF(D305="NO2",40,18)</f>
        <v>18</v>
      </c>
      <c r="G305" s="8" t="n">
        <f aca="false">E305/F305</f>
        <v>0.866666666666667</v>
      </c>
      <c r="H305" s="0" t="str">
        <f aca="false">IF(E305&gt;F305,"Exceedance",IF(E305&gt;=F305*0.9,"Watch","Compliant"))</f>
        <v>Compliant</v>
      </c>
    </row>
    <row r="306" customFormat="false" ht="15" hidden="false" customHeight="false" outlineLevel="0" collapsed="false">
      <c r="A306" s="0" t="str">
        <f aca="false">'Raw Data'!C306</f>
        <v>2025-03</v>
      </c>
      <c r="B306" s="0" t="str">
        <f aca="false">'Raw Data'!D306</f>
        <v>Hope Street (kerbside)</v>
      </c>
      <c r="C306" s="0" t="str">
        <f aca="false">'Raw Data'!E306</f>
        <v>City Centre</v>
      </c>
      <c r="D306" s="0" t="str">
        <f aca="false">'Raw Data'!F306</f>
        <v>NO2</v>
      </c>
      <c r="E306" s="6" t="n">
        <f aca="false">'Raw Data'!H306</f>
        <v>35</v>
      </c>
      <c r="F306" s="7" t="n">
        <f aca="false">IF(D306="NO2",40,18)</f>
        <v>40</v>
      </c>
      <c r="G306" s="8" t="n">
        <f aca="false">E306/F306</f>
        <v>0.875</v>
      </c>
      <c r="H306" s="0" t="str">
        <f aca="false">IF(E306&gt;F306,"Exceedance",IF(E306&gt;=F306*0.9,"Watch","Compliant"))</f>
        <v>Compliant</v>
      </c>
    </row>
    <row r="307" customFormat="false" ht="15" hidden="false" customHeight="false" outlineLevel="0" collapsed="false">
      <c r="A307" s="0" t="str">
        <f aca="false">'Raw Data'!C307</f>
        <v>2025-03</v>
      </c>
      <c r="B307" s="0" t="str">
        <f aca="false">'Raw Data'!D307</f>
        <v>North Street</v>
      </c>
      <c r="C307" s="0" t="str">
        <f aca="false">'Raw Data'!E307</f>
        <v>City Centre</v>
      </c>
      <c r="D307" s="0" t="str">
        <f aca="false">'Raw Data'!F307</f>
        <v>NO2</v>
      </c>
      <c r="E307" s="6" t="n">
        <f aca="false">'Raw Data'!H307</f>
        <v>29.7</v>
      </c>
      <c r="F307" s="7" t="n">
        <f aca="false">IF(D307="NO2",40,18)</f>
        <v>40</v>
      </c>
      <c r="G307" s="8" t="n">
        <f aca="false">E307/F307</f>
        <v>0.7425</v>
      </c>
      <c r="H307" s="0" t="str">
        <f aca="false">IF(E307&gt;F307,"Exceedance",IF(E307&gt;=F307*0.9,"Watch","Compliant"))</f>
        <v>Compliant</v>
      </c>
    </row>
    <row r="308" customFormat="false" ht="15" hidden="false" customHeight="false" outlineLevel="0" collapsed="false">
      <c r="A308" s="0" t="str">
        <f aca="false">'Raw Data'!C308</f>
        <v>2025-03</v>
      </c>
      <c r="B308" s="0" t="str">
        <f aca="false">'Raw Data'!D308</f>
        <v>Royston Road</v>
      </c>
      <c r="C308" s="0" t="str">
        <f aca="false">'Raw Data'!E308</f>
        <v>City Centre</v>
      </c>
      <c r="D308" s="0" t="str">
        <f aca="false">'Raw Data'!F308</f>
        <v>NO2</v>
      </c>
      <c r="E308" s="6" t="n">
        <f aca="false">'Raw Data'!H308</f>
        <v>27</v>
      </c>
      <c r="F308" s="7" t="n">
        <f aca="false">IF(D308="NO2",40,18)</f>
        <v>40</v>
      </c>
      <c r="G308" s="8" t="n">
        <f aca="false">E308/F308</f>
        <v>0.675</v>
      </c>
      <c r="H308" s="0" t="str">
        <f aca="false">IF(E308&gt;F308,"Exceedance",IF(E308&gt;=F308*0.9,"Watch","Compliant"))</f>
        <v>Compliant</v>
      </c>
    </row>
    <row r="309" customFormat="false" ht="15" hidden="false" customHeight="false" outlineLevel="0" collapsed="false">
      <c r="A309" s="0" t="str">
        <f aca="false">'Raw Data'!C309</f>
        <v>2025-03</v>
      </c>
      <c r="B309" s="0" t="str">
        <f aca="false">'Raw Data'!D309</f>
        <v>Dumbarton Road</v>
      </c>
      <c r="C309" s="0" t="str">
        <f aca="false">'Raw Data'!E309</f>
        <v>Byres Road/Dumbarton Road</v>
      </c>
      <c r="D309" s="0" t="str">
        <f aca="false">'Raw Data'!F309</f>
        <v>NO2</v>
      </c>
      <c r="E309" s="6" t="n">
        <f aca="false">'Raw Data'!H309</f>
        <v>27.1</v>
      </c>
      <c r="F309" s="7" t="n">
        <f aca="false">IF(D309="NO2",40,18)</f>
        <v>40</v>
      </c>
      <c r="G309" s="8" t="n">
        <f aca="false">E309/F309</f>
        <v>0.6775</v>
      </c>
      <c r="H309" s="0" t="str">
        <f aca="false">IF(E309&gt;F309,"Exceedance",IF(E309&gt;=F309*0.9,"Watch","Compliant"))</f>
        <v>Compliant</v>
      </c>
    </row>
    <row r="310" customFormat="false" ht="15" hidden="false" customHeight="false" outlineLevel="0" collapsed="false">
      <c r="A310" s="0" t="str">
        <f aca="false">'Raw Data'!C310</f>
        <v>2025-03</v>
      </c>
      <c r="B310" s="0" t="str">
        <f aca="false">'Raw Data'!D310</f>
        <v>Byres Road</v>
      </c>
      <c r="C310" s="0" t="str">
        <f aca="false">'Raw Data'!E310</f>
        <v>Byres Road/Dumbarton Road</v>
      </c>
      <c r="D310" s="0" t="str">
        <f aca="false">'Raw Data'!F310</f>
        <v>NO2</v>
      </c>
      <c r="E310" s="6" t="n">
        <f aca="false">'Raw Data'!H310</f>
        <v>25.9</v>
      </c>
      <c r="F310" s="7" t="n">
        <f aca="false">IF(D310="NO2",40,18)</f>
        <v>40</v>
      </c>
      <c r="G310" s="8" t="n">
        <f aca="false">E310/F310</f>
        <v>0.6475</v>
      </c>
      <c r="H310" s="0" t="str">
        <f aca="false">IF(E310&gt;F310,"Exceedance",IF(E310&gt;=F310*0.9,"Watch","Compliant"))</f>
        <v>Compliant</v>
      </c>
    </row>
    <row r="311" customFormat="false" ht="15" hidden="false" customHeight="false" outlineLevel="0" collapsed="false">
      <c r="A311" s="0" t="str">
        <f aca="false">'Raw Data'!C311</f>
        <v>2025-03</v>
      </c>
      <c r="B311" s="0" t="str">
        <f aca="false">'Raw Data'!D311</f>
        <v>Parkhead Cross</v>
      </c>
      <c r="C311" s="0" t="str">
        <f aca="false">'Raw Data'!E311</f>
        <v>Parkhead Cross</v>
      </c>
      <c r="D311" s="0" t="str">
        <f aca="false">'Raw Data'!F311</f>
        <v>NO2</v>
      </c>
      <c r="E311" s="6" t="n">
        <f aca="false">'Raw Data'!H311</f>
        <v>27.3</v>
      </c>
      <c r="F311" s="7" t="n">
        <f aca="false">IF(D311="NO2",40,18)</f>
        <v>40</v>
      </c>
      <c r="G311" s="8" t="n">
        <f aca="false">E311/F311</f>
        <v>0.6825</v>
      </c>
      <c r="H311" s="0" t="str">
        <f aca="false">IF(E311&gt;F311,"Exceedance",IF(E311&gt;=F311*0.9,"Watch","Compliant"))</f>
        <v>Compliant</v>
      </c>
    </row>
    <row r="312" customFormat="false" ht="15" hidden="false" customHeight="false" outlineLevel="0" collapsed="false">
      <c r="A312" s="0" t="str">
        <f aca="false">'Raw Data'!C312</f>
        <v>2025-03</v>
      </c>
      <c r="B312" s="0" t="str">
        <f aca="false">'Raw Data'!D312</f>
        <v>Hope Street (kerbside)</v>
      </c>
      <c r="C312" s="0" t="str">
        <f aca="false">'Raw Data'!E312</f>
        <v>City Centre</v>
      </c>
      <c r="D312" s="0" t="str">
        <f aca="false">'Raw Data'!F312</f>
        <v>PM10</v>
      </c>
      <c r="E312" s="6" t="n">
        <f aca="false">'Raw Data'!H312</f>
        <v>17.1</v>
      </c>
      <c r="F312" s="7" t="n">
        <f aca="false">IF(D312="NO2",40,18)</f>
        <v>18</v>
      </c>
      <c r="G312" s="8" t="n">
        <f aca="false">E312/F312</f>
        <v>0.95</v>
      </c>
      <c r="H312" s="0" t="str">
        <f aca="false">IF(E312&gt;F312,"Exceedance",IF(E312&gt;=F312*0.9,"Watch","Compliant"))</f>
        <v>Watch</v>
      </c>
    </row>
    <row r="313" customFormat="false" ht="15" hidden="false" customHeight="false" outlineLevel="0" collapsed="false">
      <c r="A313" s="0" t="str">
        <f aca="false">'Raw Data'!C313</f>
        <v>2025-03</v>
      </c>
      <c r="B313" s="0" t="str">
        <f aca="false">'Raw Data'!D313</f>
        <v>Townhead</v>
      </c>
      <c r="C313" s="0" t="str">
        <f aca="false">'Raw Data'!E313</f>
        <v>City Centre</v>
      </c>
      <c r="D313" s="0" t="str">
        <f aca="false">'Raw Data'!F313</f>
        <v>PM10</v>
      </c>
      <c r="E313" s="6" t="n">
        <f aca="false">'Raw Data'!H313</f>
        <v>14.1</v>
      </c>
      <c r="F313" s="7" t="n">
        <f aca="false">IF(D313="NO2",40,18)</f>
        <v>18</v>
      </c>
      <c r="G313" s="8" t="n">
        <f aca="false">E313/F313</f>
        <v>0.783333333333333</v>
      </c>
      <c r="H313" s="0" t="str">
        <f aca="false">IF(E313&gt;F313,"Exceedance",IF(E313&gt;=F313*0.9,"Watch","Compliant"))</f>
        <v>Compliant</v>
      </c>
    </row>
    <row r="314" customFormat="false" ht="15" hidden="false" customHeight="false" outlineLevel="0" collapsed="false">
      <c r="A314" s="0" t="str">
        <f aca="false">'Raw Data'!C314</f>
        <v>2025-04</v>
      </c>
      <c r="B314" s="0" t="str">
        <f aca="false">'Raw Data'!D314</f>
        <v>Hope Street (kerbside)</v>
      </c>
      <c r="C314" s="0" t="str">
        <f aca="false">'Raw Data'!E314</f>
        <v>City Centre</v>
      </c>
      <c r="D314" s="0" t="str">
        <f aca="false">'Raw Data'!F314</f>
        <v>NO2</v>
      </c>
      <c r="E314" s="6" t="n">
        <f aca="false">'Raw Data'!H314</f>
        <v>32.1</v>
      </c>
      <c r="F314" s="7" t="n">
        <f aca="false">IF(D314="NO2",40,18)</f>
        <v>40</v>
      </c>
      <c r="G314" s="8" t="n">
        <f aca="false">E314/F314</f>
        <v>0.8025</v>
      </c>
      <c r="H314" s="0" t="str">
        <f aca="false">IF(E314&gt;F314,"Exceedance",IF(E314&gt;=F314*0.9,"Watch","Compliant"))</f>
        <v>Compliant</v>
      </c>
    </row>
    <row r="315" customFormat="false" ht="15" hidden="false" customHeight="false" outlineLevel="0" collapsed="false">
      <c r="A315" s="0" t="str">
        <f aca="false">'Raw Data'!C315</f>
        <v>2025-04</v>
      </c>
      <c r="B315" s="0" t="str">
        <f aca="false">'Raw Data'!D315</f>
        <v>North Street</v>
      </c>
      <c r="C315" s="0" t="str">
        <f aca="false">'Raw Data'!E315</f>
        <v>City Centre</v>
      </c>
      <c r="D315" s="0" t="str">
        <f aca="false">'Raw Data'!F315</f>
        <v>NO2</v>
      </c>
      <c r="E315" s="6" t="n">
        <f aca="false">'Raw Data'!H315</f>
        <v>27.5</v>
      </c>
      <c r="F315" s="7" t="n">
        <f aca="false">IF(D315="NO2",40,18)</f>
        <v>40</v>
      </c>
      <c r="G315" s="8" t="n">
        <f aca="false">E315/F315</f>
        <v>0.6875</v>
      </c>
      <c r="H315" s="0" t="str">
        <f aca="false">IF(E315&gt;F315,"Exceedance",IF(E315&gt;=F315*0.9,"Watch","Compliant"))</f>
        <v>Compliant</v>
      </c>
    </row>
    <row r="316" customFormat="false" ht="15" hidden="false" customHeight="false" outlineLevel="0" collapsed="false">
      <c r="A316" s="0" t="str">
        <f aca="false">'Raw Data'!C316</f>
        <v>2025-04</v>
      </c>
      <c r="B316" s="0" t="str">
        <f aca="false">'Raw Data'!D316</f>
        <v>Royston Road</v>
      </c>
      <c r="C316" s="0" t="str">
        <f aca="false">'Raw Data'!E316</f>
        <v>City Centre</v>
      </c>
      <c r="D316" s="0" t="str">
        <f aca="false">'Raw Data'!F316</f>
        <v>NO2</v>
      </c>
      <c r="E316" s="6" t="n">
        <f aca="false">'Raw Data'!H316</f>
        <v>23.9</v>
      </c>
      <c r="F316" s="7" t="n">
        <f aca="false">IF(D316="NO2",40,18)</f>
        <v>40</v>
      </c>
      <c r="G316" s="8" t="n">
        <f aca="false">E316/F316</f>
        <v>0.5975</v>
      </c>
      <c r="H316" s="0" t="str">
        <f aca="false">IF(E316&gt;F316,"Exceedance",IF(E316&gt;=F316*0.9,"Watch","Compliant"))</f>
        <v>Compliant</v>
      </c>
    </row>
    <row r="317" customFormat="false" ht="15" hidden="false" customHeight="false" outlineLevel="0" collapsed="false">
      <c r="A317" s="0" t="str">
        <f aca="false">'Raw Data'!C317</f>
        <v>2025-04</v>
      </c>
      <c r="B317" s="0" t="str">
        <f aca="false">'Raw Data'!D317</f>
        <v>Dumbarton Road</v>
      </c>
      <c r="C317" s="0" t="str">
        <f aca="false">'Raw Data'!E317</f>
        <v>Byres Road/Dumbarton Road</v>
      </c>
      <c r="D317" s="0" t="str">
        <f aca="false">'Raw Data'!F317</f>
        <v>NO2</v>
      </c>
      <c r="E317" s="6" t="n">
        <f aca="false">'Raw Data'!H317</f>
        <v>27</v>
      </c>
      <c r="F317" s="7" t="n">
        <f aca="false">IF(D317="NO2",40,18)</f>
        <v>40</v>
      </c>
      <c r="G317" s="8" t="n">
        <f aca="false">E317/F317</f>
        <v>0.675</v>
      </c>
      <c r="H317" s="0" t="str">
        <f aca="false">IF(E317&gt;F317,"Exceedance",IF(E317&gt;=F317*0.9,"Watch","Compliant"))</f>
        <v>Compliant</v>
      </c>
    </row>
    <row r="318" customFormat="false" ht="15" hidden="false" customHeight="false" outlineLevel="0" collapsed="false">
      <c r="A318" s="0" t="str">
        <f aca="false">'Raw Data'!C318</f>
        <v>2025-04</v>
      </c>
      <c r="B318" s="0" t="str">
        <f aca="false">'Raw Data'!D318</f>
        <v>Byres Road</v>
      </c>
      <c r="C318" s="0" t="str">
        <f aca="false">'Raw Data'!E318</f>
        <v>Byres Road/Dumbarton Road</v>
      </c>
      <c r="D318" s="0" t="str">
        <f aca="false">'Raw Data'!F318</f>
        <v>NO2</v>
      </c>
      <c r="E318" s="6" t="n">
        <f aca="false">'Raw Data'!H318</f>
        <v>23.5</v>
      </c>
      <c r="F318" s="7" t="n">
        <f aca="false">IF(D318="NO2",40,18)</f>
        <v>40</v>
      </c>
      <c r="G318" s="8" t="n">
        <f aca="false">E318/F318</f>
        <v>0.5875</v>
      </c>
      <c r="H318" s="0" t="str">
        <f aca="false">IF(E318&gt;F318,"Exceedance",IF(E318&gt;=F318*0.9,"Watch","Compliant"))</f>
        <v>Compliant</v>
      </c>
    </row>
    <row r="319" customFormat="false" ht="15" hidden="false" customHeight="false" outlineLevel="0" collapsed="false">
      <c r="A319" s="0" t="str">
        <f aca="false">'Raw Data'!C319</f>
        <v>2025-04</v>
      </c>
      <c r="B319" s="0" t="str">
        <f aca="false">'Raw Data'!D319</f>
        <v>Parkhead Cross</v>
      </c>
      <c r="C319" s="0" t="str">
        <f aca="false">'Raw Data'!E319</f>
        <v>Parkhead Cross</v>
      </c>
      <c r="D319" s="0" t="str">
        <f aca="false">'Raw Data'!F319</f>
        <v>NO2</v>
      </c>
      <c r="E319" s="6" t="n">
        <f aca="false">'Raw Data'!H319</f>
        <v>24.1</v>
      </c>
      <c r="F319" s="7" t="n">
        <f aca="false">IF(D319="NO2",40,18)</f>
        <v>40</v>
      </c>
      <c r="G319" s="8" t="n">
        <f aca="false">E319/F319</f>
        <v>0.6025</v>
      </c>
      <c r="H319" s="0" t="str">
        <f aca="false">IF(E319&gt;F319,"Exceedance",IF(E319&gt;=F319*0.9,"Watch","Compliant"))</f>
        <v>Compliant</v>
      </c>
    </row>
    <row r="320" customFormat="false" ht="15" hidden="false" customHeight="false" outlineLevel="0" collapsed="false">
      <c r="A320" s="0" t="str">
        <f aca="false">'Raw Data'!C320</f>
        <v>2025-04</v>
      </c>
      <c r="B320" s="0" t="str">
        <f aca="false">'Raw Data'!D320</f>
        <v>Hope Street (kerbside)</v>
      </c>
      <c r="C320" s="0" t="str">
        <f aca="false">'Raw Data'!E320</f>
        <v>City Centre</v>
      </c>
      <c r="D320" s="0" t="str">
        <f aca="false">'Raw Data'!F320</f>
        <v>PM10</v>
      </c>
      <c r="E320" s="6" t="n">
        <f aca="false">'Raw Data'!H320</f>
        <v>15.8</v>
      </c>
      <c r="F320" s="7" t="n">
        <f aca="false">IF(D320="NO2",40,18)</f>
        <v>18</v>
      </c>
      <c r="G320" s="8" t="n">
        <f aca="false">E320/F320</f>
        <v>0.877777777777778</v>
      </c>
      <c r="H320" s="0" t="str">
        <f aca="false">IF(E320&gt;F320,"Exceedance",IF(E320&gt;=F320*0.9,"Watch","Compliant"))</f>
        <v>Compliant</v>
      </c>
    </row>
    <row r="321" customFormat="false" ht="15" hidden="false" customHeight="false" outlineLevel="0" collapsed="false">
      <c r="A321" s="0" t="str">
        <f aca="false">'Raw Data'!C321</f>
        <v>2025-04</v>
      </c>
      <c r="B321" s="0" t="str">
        <f aca="false">'Raw Data'!D321</f>
        <v>Townhead</v>
      </c>
      <c r="C321" s="0" t="str">
        <f aca="false">'Raw Data'!E321</f>
        <v>City Centre</v>
      </c>
      <c r="D321" s="0" t="str">
        <f aca="false">'Raw Data'!F321</f>
        <v>PM10</v>
      </c>
      <c r="E321" s="6" t="n">
        <f aca="false">'Raw Data'!H321</f>
        <v>13.6</v>
      </c>
      <c r="F321" s="7" t="n">
        <f aca="false">IF(D321="NO2",40,18)</f>
        <v>18</v>
      </c>
      <c r="G321" s="8" t="n">
        <f aca="false">E321/F321</f>
        <v>0.755555555555556</v>
      </c>
      <c r="H321" s="0" t="str">
        <f aca="false">IF(E321&gt;F321,"Exceedance",IF(E321&gt;=F321*0.9,"Watch","Compliant"))</f>
        <v>Compliant</v>
      </c>
    </row>
    <row r="322" customFormat="false" ht="15" hidden="false" customHeight="false" outlineLevel="0" collapsed="false">
      <c r="A322" s="0" t="str">
        <f aca="false">'Raw Data'!C322</f>
        <v>2025-05</v>
      </c>
      <c r="B322" s="0" t="str">
        <f aca="false">'Raw Data'!D322</f>
        <v>Hope Street (kerbside)</v>
      </c>
      <c r="C322" s="0" t="str">
        <f aca="false">'Raw Data'!E322</f>
        <v>City Centre</v>
      </c>
      <c r="D322" s="0" t="str">
        <f aca="false">'Raw Data'!F322</f>
        <v>NO2</v>
      </c>
      <c r="E322" s="6" t="n">
        <f aca="false">'Raw Data'!H322</f>
        <v>30.2</v>
      </c>
      <c r="F322" s="7" t="n">
        <f aca="false">IF(D322="NO2",40,18)</f>
        <v>40</v>
      </c>
      <c r="G322" s="8" t="n">
        <f aca="false">E322/F322</f>
        <v>0.755</v>
      </c>
      <c r="H322" s="0" t="str">
        <f aca="false">IF(E322&gt;F322,"Exceedance",IF(E322&gt;=F322*0.9,"Watch","Compliant"))</f>
        <v>Compliant</v>
      </c>
    </row>
    <row r="323" customFormat="false" ht="15" hidden="false" customHeight="false" outlineLevel="0" collapsed="false">
      <c r="A323" s="0" t="str">
        <f aca="false">'Raw Data'!C323</f>
        <v>2025-05</v>
      </c>
      <c r="B323" s="0" t="str">
        <f aca="false">'Raw Data'!D323</f>
        <v>North Street</v>
      </c>
      <c r="C323" s="0" t="str">
        <f aca="false">'Raw Data'!E323</f>
        <v>City Centre</v>
      </c>
      <c r="D323" s="0" t="str">
        <f aca="false">'Raw Data'!F323</f>
        <v>NO2</v>
      </c>
      <c r="E323" s="6" t="n">
        <f aca="false">'Raw Data'!H323</f>
        <v>26.5</v>
      </c>
      <c r="F323" s="7" t="n">
        <f aca="false">IF(D323="NO2",40,18)</f>
        <v>40</v>
      </c>
      <c r="G323" s="8" t="n">
        <f aca="false">E323/F323</f>
        <v>0.6625</v>
      </c>
      <c r="H323" s="0" t="str">
        <f aca="false">IF(E323&gt;F323,"Exceedance",IF(E323&gt;=F323*0.9,"Watch","Compliant"))</f>
        <v>Compliant</v>
      </c>
    </row>
    <row r="324" customFormat="false" ht="15" hidden="false" customHeight="false" outlineLevel="0" collapsed="false">
      <c r="A324" s="0" t="str">
        <f aca="false">'Raw Data'!C324</f>
        <v>2025-05</v>
      </c>
      <c r="B324" s="0" t="str">
        <f aca="false">'Raw Data'!D324</f>
        <v>Royston Road</v>
      </c>
      <c r="C324" s="0" t="str">
        <f aca="false">'Raw Data'!E324</f>
        <v>City Centre</v>
      </c>
      <c r="D324" s="0" t="str">
        <f aca="false">'Raw Data'!F324</f>
        <v>NO2</v>
      </c>
      <c r="E324" s="6" t="n">
        <f aca="false">'Raw Data'!H324</f>
        <v>24.4</v>
      </c>
      <c r="F324" s="7" t="n">
        <f aca="false">IF(D324="NO2",40,18)</f>
        <v>40</v>
      </c>
      <c r="G324" s="8" t="n">
        <f aca="false">E324/F324</f>
        <v>0.61</v>
      </c>
      <c r="H324" s="0" t="str">
        <f aca="false">IF(E324&gt;F324,"Exceedance",IF(E324&gt;=F324*0.9,"Watch","Compliant"))</f>
        <v>Compliant</v>
      </c>
    </row>
    <row r="325" customFormat="false" ht="15" hidden="false" customHeight="false" outlineLevel="0" collapsed="false">
      <c r="A325" s="0" t="str">
        <f aca="false">'Raw Data'!C325</f>
        <v>2025-05</v>
      </c>
      <c r="B325" s="0" t="str">
        <f aca="false">'Raw Data'!D325</f>
        <v>Dumbarton Road</v>
      </c>
      <c r="C325" s="0" t="str">
        <f aca="false">'Raw Data'!E325</f>
        <v>Byres Road/Dumbarton Road</v>
      </c>
      <c r="D325" s="0" t="str">
        <f aca="false">'Raw Data'!F325</f>
        <v>NO2</v>
      </c>
      <c r="E325" s="6" t="n">
        <f aca="false">'Raw Data'!H325</f>
        <v>25.5</v>
      </c>
      <c r="F325" s="7" t="n">
        <f aca="false">IF(D325="NO2",40,18)</f>
        <v>40</v>
      </c>
      <c r="G325" s="8" t="n">
        <f aca="false">E325/F325</f>
        <v>0.6375</v>
      </c>
      <c r="H325" s="0" t="str">
        <f aca="false">IF(E325&gt;F325,"Exceedance",IF(E325&gt;=F325*0.9,"Watch","Compliant"))</f>
        <v>Compliant</v>
      </c>
    </row>
    <row r="326" customFormat="false" ht="15" hidden="false" customHeight="false" outlineLevel="0" collapsed="false">
      <c r="A326" s="0" t="str">
        <f aca="false">'Raw Data'!C326</f>
        <v>2025-05</v>
      </c>
      <c r="B326" s="0" t="str">
        <f aca="false">'Raw Data'!D326</f>
        <v>Byres Road</v>
      </c>
      <c r="C326" s="0" t="str">
        <f aca="false">'Raw Data'!E326</f>
        <v>Byres Road/Dumbarton Road</v>
      </c>
      <c r="D326" s="0" t="str">
        <f aca="false">'Raw Data'!F326</f>
        <v>NO2</v>
      </c>
      <c r="E326" s="6" t="n">
        <f aca="false">'Raw Data'!H326</f>
        <v>22.5</v>
      </c>
      <c r="F326" s="7" t="n">
        <f aca="false">IF(D326="NO2",40,18)</f>
        <v>40</v>
      </c>
      <c r="G326" s="8" t="n">
        <f aca="false">E326/F326</f>
        <v>0.5625</v>
      </c>
      <c r="H326" s="0" t="str">
        <f aca="false">IF(E326&gt;F326,"Exceedance",IF(E326&gt;=F326*0.9,"Watch","Compliant"))</f>
        <v>Compliant</v>
      </c>
    </row>
    <row r="327" customFormat="false" ht="15" hidden="false" customHeight="false" outlineLevel="0" collapsed="false">
      <c r="A327" s="0" t="str">
        <f aca="false">'Raw Data'!C327</f>
        <v>2025-05</v>
      </c>
      <c r="B327" s="0" t="str">
        <f aca="false">'Raw Data'!D327</f>
        <v>Parkhead Cross</v>
      </c>
      <c r="C327" s="0" t="str">
        <f aca="false">'Raw Data'!E327</f>
        <v>Parkhead Cross</v>
      </c>
      <c r="D327" s="0" t="str">
        <f aca="false">'Raw Data'!F327</f>
        <v>NO2</v>
      </c>
      <c r="E327" s="6" t="n">
        <f aca="false">'Raw Data'!H327</f>
        <v>24.5</v>
      </c>
      <c r="F327" s="7" t="n">
        <f aca="false">IF(D327="NO2",40,18)</f>
        <v>40</v>
      </c>
      <c r="G327" s="8" t="n">
        <f aca="false">E327/F327</f>
        <v>0.6125</v>
      </c>
      <c r="H327" s="0" t="str">
        <f aca="false">IF(E327&gt;F327,"Exceedance",IF(E327&gt;=F327*0.9,"Watch","Compliant"))</f>
        <v>Compliant</v>
      </c>
    </row>
    <row r="328" customFormat="false" ht="15" hidden="false" customHeight="false" outlineLevel="0" collapsed="false">
      <c r="A328" s="0" t="str">
        <f aca="false">'Raw Data'!C328</f>
        <v>2025-05</v>
      </c>
      <c r="B328" s="0" t="str">
        <f aca="false">'Raw Data'!D328</f>
        <v>Hope Street (kerbside)</v>
      </c>
      <c r="C328" s="0" t="str">
        <f aca="false">'Raw Data'!E328</f>
        <v>City Centre</v>
      </c>
      <c r="D328" s="0" t="str">
        <f aca="false">'Raw Data'!F328</f>
        <v>PM10</v>
      </c>
      <c r="E328" s="6" t="n">
        <f aca="false">'Raw Data'!H328</f>
        <v>15.4</v>
      </c>
      <c r="F328" s="7" t="n">
        <f aca="false">IF(D328="NO2",40,18)</f>
        <v>18</v>
      </c>
      <c r="G328" s="8" t="n">
        <f aca="false">E328/F328</f>
        <v>0.855555555555556</v>
      </c>
      <c r="H328" s="0" t="str">
        <f aca="false">IF(E328&gt;F328,"Exceedance",IF(E328&gt;=F328*0.9,"Watch","Compliant"))</f>
        <v>Compliant</v>
      </c>
    </row>
    <row r="329" customFormat="false" ht="15" hidden="false" customHeight="false" outlineLevel="0" collapsed="false">
      <c r="A329" s="0" t="str">
        <f aca="false">'Raw Data'!C329</f>
        <v>2025-05</v>
      </c>
      <c r="B329" s="0" t="str">
        <f aca="false">'Raw Data'!D329</f>
        <v>Townhead</v>
      </c>
      <c r="C329" s="0" t="str">
        <f aca="false">'Raw Data'!E329</f>
        <v>City Centre</v>
      </c>
      <c r="D329" s="0" t="str">
        <f aca="false">'Raw Data'!F329</f>
        <v>PM10</v>
      </c>
      <c r="E329" s="6" t="n">
        <f aca="false">'Raw Data'!H329</f>
        <v>13</v>
      </c>
      <c r="F329" s="7" t="n">
        <f aca="false">IF(D329="NO2",40,18)</f>
        <v>18</v>
      </c>
      <c r="G329" s="8" t="n">
        <f aca="false">E329/F329</f>
        <v>0.722222222222222</v>
      </c>
      <c r="H329" s="0" t="str">
        <f aca="false">IF(E329&gt;F329,"Exceedance",IF(E329&gt;=F329*0.9,"Watch","Compliant"))</f>
        <v>Compliant</v>
      </c>
    </row>
    <row r="330" customFormat="false" ht="15" hidden="false" customHeight="false" outlineLevel="0" collapsed="false">
      <c r="A330" s="0" t="str">
        <f aca="false">'Raw Data'!C330</f>
        <v>2025-06</v>
      </c>
      <c r="B330" s="0" t="str">
        <f aca="false">'Raw Data'!D330</f>
        <v>Hope Street (kerbside)</v>
      </c>
      <c r="C330" s="0" t="str">
        <f aca="false">'Raw Data'!E330</f>
        <v>City Centre</v>
      </c>
      <c r="D330" s="0" t="str">
        <f aca="false">'Raw Data'!F330</f>
        <v>NO2</v>
      </c>
      <c r="E330" s="6" t="n">
        <f aca="false">'Raw Data'!H330</f>
        <v>29.1</v>
      </c>
      <c r="F330" s="7" t="n">
        <f aca="false">IF(D330="NO2",40,18)</f>
        <v>40</v>
      </c>
      <c r="G330" s="8" t="n">
        <f aca="false">E330/F330</f>
        <v>0.7275</v>
      </c>
      <c r="H330" s="0" t="str">
        <f aca="false">IF(E330&gt;F330,"Exceedance",IF(E330&gt;=F330*0.9,"Watch","Compliant"))</f>
        <v>Compliant</v>
      </c>
    </row>
    <row r="331" customFormat="false" ht="15" hidden="false" customHeight="false" outlineLevel="0" collapsed="false">
      <c r="A331" s="0" t="str">
        <f aca="false">'Raw Data'!C331</f>
        <v>2025-06</v>
      </c>
      <c r="B331" s="0" t="str">
        <f aca="false">'Raw Data'!D331</f>
        <v>North Street</v>
      </c>
      <c r="C331" s="0" t="str">
        <f aca="false">'Raw Data'!E331</f>
        <v>City Centre</v>
      </c>
      <c r="D331" s="0" t="str">
        <f aca="false">'Raw Data'!F331</f>
        <v>NO2</v>
      </c>
      <c r="E331" s="6" t="n">
        <f aca="false">'Raw Data'!H331</f>
        <v>24.5</v>
      </c>
      <c r="F331" s="7" t="n">
        <f aca="false">IF(D331="NO2",40,18)</f>
        <v>40</v>
      </c>
      <c r="G331" s="8" t="n">
        <f aca="false">E331/F331</f>
        <v>0.6125</v>
      </c>
      <c r="H331" s="0" t="str">
        <f aca="false">IF(E331&gt;F331,"Exceedance",IF(E331&gt;=F331*0.9,"Watch","Compliant"))</f>
        <v>Compliant</v>
      </c>
    </row>
    <row r="332" customFormat="false" ht="15" hidden="false" customHeight="false" outlineLevel="0" collapsed="false">
      <c r="A332" s="0" t="str">
        <f aca="false">'Raw Data'!C332</f>
        <v>2025-06</v>
      </c>
      <c r="B332" s="0" t="str">
        <f aca="false">'Raw Data'!D332</f>
        <v>Royston Road</v>
      </c>
      <c r="C332" s="0" t="str">
        <f aca="false">'Raw Data'!E332</f>
        <v>City Centre</v>
      </c>
      <c r="D332" s="0" t="str">
        <f aca="false">'Raw Data'!F332</f>
        <v>NO2</v>
      </c>
      <c r="E332" s="6" t="n">
        <f aca="false">'Raw Data'!H332</f>
        <v>21.8</v>
      </c>
      <c r="F332" s="7" t="n">
        <f aca="false">IF(D332="NO2",40,18)</f>
        <v>40</v>
      </c>
      <c r="G332" s="8" t="n">
        <f aca="false">E332/F332</f>
        <v>0.545</v>
      </c>
      <c r="H332" s="0" t="str">
        <f aca="false">IF(E332&gt;F332,"Exceedance",IF(E332&gt;=F332*0.9,"Watch","Compliant"))</f>
        <v>Compliant</v>
      </c>
    </row>
    <row r="333" customFormat="false" ht="15" hidden="false" customHeight="false" outlineLevel="0" collapsed="false">
      <c r="A333" s="0" t="str">
        <f aca="false">'Raw Data'!C333</f>
        <v>2025-06</v>
      </c>
      <c r="B333" s="0" t="str">
        <f aca="false">'Raw Data'!D333</f>
        <v>Dumbarton Road</v>
      </c>
      <c r="C333" s="0" t="str">
        <f aca="false">'Raw Data'!E333</f>
        <v>Byres Road/Dumbarton Road</v>
      </c>
      <c r="D333" s="0" t="str">
        <f aca="false">'Raw Data'!F333</f>
        <v>NO2</v>
      </c>
      <c r="E333" s="6" t="n">
        <f aca="false">'Raw Data'!H333</f>
        <v>23.8</v>
      </c>
      <c r="F333" s="7" t="n">
        <f aca="false">IF(D333="NO2",40,18)</f>
        <v>40</v>
      </c>
      <c r="G333" s="8" t="n">
        <f aca="false">E333/F333</f>
        <v>0.595</v>
      </c>
      <c r="H333" s="0" t="str">
        <f aca="false">IF(E333&gt;F333,"Exceedance",IF(E333&gt;=F333*0.9,"Watch","Compliant"))</f>
        <v>Compliant</v>
      </c>
    </row>
    <row r="334" customFormat="false" ht="15" hidden="false" customHeight="false" outlineLevel="0" collapsed="false">
      <c r="A334" s="0" t="str">
        <f aca="false">'Raw Data'!C334</f>
        <v>2025-06</v>
      </c>
      <c r="B334" s="0" t="str">
        <f aca="false">'Raw Data'!D334</f>
        <v>Byres Road</v>
      </c>
      <c r="C334" s="0" t="str">
        <f aca="false">'Raw Data'!E334</f>
        <v>Byres Road/Dumbarton Road</v>
      </c>
      <c r="D334" s="0" t="str">
        <f aca="false">'Raw Data'!F334</f>
        <v>NO2</v>
      </c>
      <c r="E334" s="6" t="n">
        <f aca="false">'Raw Data'!H334</f>
        <v>21.8</v>
      </c>
      <c r="F334" s="7" t="n">
        <f aca="false">IF(D334="NO2",40,18)</f>
        <v>40</v>
      </c>
      <c r="G334" s="8" t="n">
        <f aca="false">E334/F334</f>
        <v>0.545</v>
      </c>
      <c r="H334" s="0" t="str">
        <f aca="false">IF(E334&gt;F334,"Exceedance",IF(E334&gt;=F334*0.9,"Watch","Compliant"))</f>
        <v>Compliant</v>
      </c>
    </row>
    <row r="335" customFormat="false" ht="15" hidden="false" customHeight="false" outlineLevel="0" collapsed="false">
      <c r="A335" s="0" t="str">
        <f aca="false">'Raw Data'!C335</f>
        <v>2025-06</v>
      </c>
      <c r="B335" s="0" t="str">
        <f aca="false">'Raw Data'!D335</f>
        <v>Parkhead Cross</v>
      </c>
      <c r="C335" s="0" t="str">
        <f aca="false">'Raw Data'!E335</f>
        <v>Parkhead Cross</v>
      </c>
      <c r="D335" s="0" t="str">
        <f aca="false">'Raw Data'!F335</f>
        <v>NO2</v>
      </c>
      <c r="E335" s="6" t="n">
        <f aca="false">'Raw Data'!H335</f>
        <v>23</v>
      </c>
      <c r="F335" s="7" t="n">
        <f aca="false">IF(D335="NO2",40,18)</f>
        <v>40</v>
      </c>
      <c r="G335" s="8" t="n">
        <f aca="false">E335/F335</f>
        <v>0.575</v>
      </c>
      <c r="H335" s="0" t="str">
        <f aca="false">IF(E335&gt;F335,"Exceedance",IF(E335&gt;=F335*0.9,"Watch","Compliant"))</f>
        <v>Compliant</v>
      </c>
    </row>
    <row r="336" customFormat="false" ht="15" hidden="false" customHeight="false" outlineLevel="0" collapsed="false">
      <c r="A336" s="0" t="str">
        <f aca="false">'Raw Data'!C336</f>
        <v>2025-06</v>
      </c>
      <c r="B336" s="0" t="str">
        <f aca="false">'Raw Data'!D336</f>
        <v>Hope Street (kerbside)</v>
      </c>
      <c r="C336" s="0" t="str">
        <f aca="false">'Raw Data'!E336</f>
        <v>City Centre</v>
      </c>
      <c r="D336" s="0" t="str">
        <f aca="false">'Raw Data'!F336</f>
        <v>PM10</v>
      </c>
      <c r="E336" s="6" t="n">
        <f aca="false">'Raw Data'!H336</f>
        <v>14.9</v>
      </c>
      <c r="F336" s="7" t="n">
        <f aca="false">IF(D336="NO2",40,18)</f>
        <v>18</v>
      </c>
      <c r="G336" s="8" t="n">
        <f aca="false">E336/F336</f>
        <v>0.827777777777778</v>
      </c>
      <c r="H336" s="0" t="str">
        <f aca="false">IF(E336&gt;F336,"Exceedance",IF(E336&gt;=F336*0.9,"Watch","Compliant"))</f>
        <v>Compliant</v>
      </c>
    </row>
    <row r="337" customFormat="false" ht="15" hidden="false" customHeight="false" outlineLevel="0" collapsed="false">
      <c r="A337" s="0" t="str">
        <f aca="false">'Raw Data'!C337</f>
        <v>2025-06</v>
      </c>
      <c r="B337" s="0" t="str">
        <f aca="false">'Raw Data'!D337</f>
        <v>Townhead</v>
      </c>
      <c r="C337" s="0" t="str">
        <f aca="false">'Raw Data'!E337</f>
        <v>City Centre</v>
      </c>
      <c r="D337" s="0" t="str">
        <f aca="false">'Raw Data'!F337</f>
        <v>PM10</v>
      </c>
      <c r="E337" s="6" t="n">
        <f aca="false">'Raw Data'!H337</f>
        <v>11.9</v>
      </c>
      <c r="F337" s="7" t="n">
        <f aca="false">IF(D337="NO2",40,18)</f>
        <v>18</v>
      </c>
      <c r="G337" s="8" t="n">
        <f aca="false">E337/F337</f>
        <v>0.661111111111111</v>
      </c>
      <c r="H337" s="0" t="str">
        <f aca="false">IF(E337&gt;F337,"Exceedance",IF(E337&gt;=F337*0.9,"Watch","Compliant"))</f>
        <v>Compliant</v>
      </c>
    </row>
    <row r="338" customFormat="false" ht="15" hidden="false" customHeight="false" outlineLevel="0" collapsed="false">
      <c r="A338" s="0" t="str">
        <f aca="false">'Raw Data'!C338</f>
        <v>2025-07</v>
      </c>
      <c r="B338" s="0" t="str">
        <f aca="false">'Raw Data'!D338</f>
        <v>Hope Street (kerbside)</v>
      </c>
      <c r="C338" s="0" t="str">
        <f aca="false">'Raw Data'!E338</f>
        <v>City Centre</v>
      </c>
      <c r="D338" s="0" t="str">
        <f aca="false">'Raw Data'!F338</f>
        <v>NO2</v>
      </c>
      <c r="E338" s="6" t="n">
        <f aca="false">'Raw Data'!H338</f>
        <v>27.1</v>
      </c>
      <c r="F338" s="7" t="n">
        <f aca="false">IF(D338="NO2",40,18)</f>
        <v>40</v>
      </c>
      <c r="G338" s="8" t="n">
        <f aca="false">E338/F338</f>
        <v>0.6775</v>
      </c>
      <c r="H338" s="0" t="str">
        <f aca="false">IF(E338&gt;F338,"Exceedance",IF(E338&gt;=F338*0.9,"Watch","Compliant"))</f>
        <v>Compliant</v>
      </c>
    </row>
    <row r="339" customFormat="false" ht="15" hidden="false" customHeight="false" outlineLevel="0" collapsed="false">
      <c r="A339" s="0" t="str">
        <f aca="false">'Raw Data'!C339</f>
        <v>2025-07</v>
      </c>
      <c r="B339" s="0" t="str">
        <f aca="false">'Raw Data'!D339</f>
        <v>North Street</v>
      </c>
      <c r="C339" s="0" t="str">
        <f aca="false">'Raw Data'!E339</f>
        <v>City Centre</v>
      </c>
      <c r="D339" s="0" t="str">
        <f aca="false">'Raw Data'!F339</f>
        <v>NO2</v>
      </c>
      <c r="E339" s="6" t="n">
        <f aca="false">'Raw Data'!H339</f>
        <v>24.6</v>
      </c>
      <c r="F339" s="7" t="n">
        <f aca="false">IF(D339="NO2",40,18)</f>
        <v>40</v>
      </c>
      <c r="G339" s="8" t="n">
        <f aca="false">E339/F339</f>
        <v>0.615</v>
      </c>
      <c r="H339" s="0" t="str">
        <f aca="false">IF(E339&gt;F339,"Exceedance",IF(E339&gt;=F339*0.9,"Watch","Compliant"))</f>
        <v>Compliant</v>
      </c>
    </row>
    <row r="340" customFormat="false" ht="15" hidden="false" customHeight="false" outlineLevel="0" collapsed="false">
      <c r="A340" s="0" t="str">
        <f aca="false">'Raw Data'!C340</f>
        <v>2025-07</v>
      </c>
      <c r="B340" s="0" t="str">
        <f aca="false">'Raw Data'!D340</f>
        <v>Royston Road</v>
      </c>
      <c r="C340" s="0" t="str">
        <f aca="false">'Raw Data'!E340</f>
        <v>City Centre</v>
      </c>
      <c r="D340" s="0" t="str">
        <f aca="false">'Raw Data'!F340</f>
        <v>NO2</v>
      </c>
      <c r="E340" s="6" t="n">
        <f aca="false">'Raw Data'!H340</f>
        <v>21.1</v>
      </c>
      <c r="F340" s="7" t="n">
        <f aca="false">IF(D340="NO2",40,18)</f>
        <v>40</v>
      </c>
      <c r="G340" s="8" t="n">
        <f aca="false">E340/F340</f>
        <v>0.5275</v>
      </c>
      <c r="H340" s="0" t="str">
        <f aca="false">IF(E340&gt;F340,"Exceedance",IF(E340&gt;=F340*0.9,"Watch","Compliant"))</f>
        <v>Compliant</v>
      </c>
    </row>
    <row r="341" customFormat="false" ht="15" hidden="false" customHeight="false" outlineLevel="0" collapsed="false">
      <c r="A341" s="0" t="str">
        <f aca="false">'Raw Data'!C341</f>
        <v>2025-07</v>
      </c>
      <c r="B341" s="0" t="str">
        <f aca="false">'Raw Data'!D341</f>
        <v>Dumbarton Road</v>
      </c>
      <c r="C341" s="0" t="str">
        <f aca="false">'Raw Data'!E341</f>
        <v>Byres Road/Dumbarton Road</v>
      </c>
      <c r="D341" s="0" t="str">
        <f aca="false">'Raw Data'!F341</f>
        <v>NO2</v>
      </c>
      <c r="E341" s="6" t="n">
        <f aca="false">'Raw Data'!H341</f>
        <v>22.3</v>
      </c>
      <c r="F341" s="7" t="n">
        <f aca="false">IF(D341="NO2",40,18)</f>
        <v>40</v>
      </c>
      <c r="G341" s="8" t="n">
        <f aca="false">E341/F341</f>
        <v>0.5575</v>
      </c>
      <c r="H341" s="0" t="str">
        <f aca="false">IF(E341&gt;F341,"Exceedance",IF(E341&gt;=F341*0.9,"Watch","Compliant"))</f>
        <v>Compliant</v>
      </c>
    </row>
    <row r="342" customFormat="false" ht="15" hidden="false" customHeight="false" outlineLevel="0" collapsed="false">
      <c r="A342" s="0" t="str">
        <f aca="false">'Raw Data'!C342</f>
        <v>2025-07</v>
      </c>
      <c r="B342" s="0" t="str">
        <f aca="false">'Raw Data'!D342</f>
        <v>Byres Road</v>
      </c>
      <c r="C342" s="0" t="str">
        <f aca="false">'Raw Data'!E342</f>
        <v>Byres Road/Dumbarton Road</v>
      </c>
      <c r="D342" s="0" t="str">
        <f aca="false">'Raw Data'!F342</f>
        <v>NO2</v>
      </c>
      <c r="E342" s="6" t="n">
        <f aca="false">'Raw Data'!H342</f>
        <v>21.2</v>
      </c>
      <c r="F342" s="7" t="n">
        <f aca="false">IF(D342="NO2",40,18)</f>
        <v>40</v>
      </c>
      <c r="G342" s="8" t="n">
        <f aca="false">E342/F342</f>
        <v>0.53</v>
      </c>
      <c r="H342" s="0" t="str">
        <f aca="false">IF(E342&gt;F342,"Exceedance",IF(E342&gt;=F342*0.9,"Watch","Compliant"))</f>
        <v>Compliant</v>
      </c>
    </row>
    <row r="343" customFormat="false" ht="15" hidden="false" customHeight="false" outlineLevel="0" collapsed="false">
      <c r="A343" s="0" t="str">
        <f aca="false">'Raw Data'!C343</f>
        <v>2025-07</v>
      </c>
      <c r="B343" s="0" t="str">
        <f aca="false">'Raw Data'!D343</f>
        <v>Parkhead Cross</v>
      </c>
      <c r="C343" s="0" t="str">
        <f aca="false">'Raw Data'!E343</f>
        <v>Parkhead Cross</v>
      </c>
      <c r="D343" s="0" t="str">
        <f aca="false">'Raw Data'!F343</f>
        <v>NO2</v>
      </c>
      <c r="E343" s="6" t="n">
        <f aca="false">'Raw Data'!H343</f>
        <v>22.9</v>
      </c>
      <c r="F343" s="7" t="n">
        <f aca="false">IF(D343="NO2",40,18)</f>
        <v>40</v>
      </c>
      <c r="G343" s="8" t="n">
        <f aca="false">E343/F343</f>
        <v>0.5725</v>
      </c>
      <c r="H343" s="0" t="str">
        <f aca="false">IF(E343&gt;F343,"Exceedance",IF(E343&gt;=F343*0.9,"Watch","Compliant"))</f>
        <v>Compliant</v>
      </c>
    </row>
    <row r="344" customFormat="false" ht="15" hidden="false" customHeight="false" outlineLevel="0" collapsed="false">
      <c r="A344" s="0" t="str">
        <f aca="false">'Raw Data'!C344</f>
        <v>2025-07</v>
      </c>
      <c r="B344" s="0" t="str">
        <f aca="false">'Raw Data'!D344</f>
        <v>Hope Street (kerbside)</v>
      </c>
      <c r="C344" s="0" t="str">
        <f aca="false">'Raw Data'!E344</f>
        <v>City Centre</v>
      </c>
      <c r="D344" s="0" t="str">
        <f aca="false">'Raw Data'!F344</f>
        <v>PM10</v>
      </c>
      <c r="E344" s="6" t="n">
        <f aca="false">'Raw Data'!H344</f>
        <v>13.8</v>
      </c>
      <c r="F344" s="7" t="n">
        <f aca="false">IF(D344="NO2",40,18)</f>
        <v>18</v>
      </c>
      <c r="G344" s="8" t="n">
        <f aca="false">E344/F344</f>
        <v>0.766666666666667</v>
      </c>
      <c r="H344" s="0" t="str">
        <f aca="false">IF(E344&gt;F344,"Exceedance",IF(E344&gt;=F344*0.9,"Watch","Compliant"))</f>
        <v>Compliant</v>
      </c>
    </row>
    <row r="345" customFormat="false" ht="15" hidden="false" customHeight="false" outlineLevel="0" collapsed="false">
      <c r="A345" s="0" t="str">
        <f aca="false">'Raw Data'!C345</f>
        <v>2025-07</v>
      </c>
      <c r="B345" s="0" t="str">
        <f aca="false">'Raw Data'!D345</f>
        <v>Townhead</v>
      </c>
      <c r="C345" s="0" t="str">
        <f aca="false">'Raw Data'!E345</f>
        <v>City Centre</v>
      </c>
      <c r="D345" s="0" t="str">
        <f aca="false">'Raw Data'!F345</f>
        <v>PM10</v>
      </c>
      <c r="E345" s="6" t="n">
        <f aca="false">'Raw Data'!H345</f>
        <v>12.2</v>
      </c>
      <c r="F345" s="7" t="n">
        <f aca="false">IF(D345="NO2",40,18)</f>
        <v>18</v>
      </c>
      <c r="G345" s="8" t="n">
        <f aca="false">E345/F345</f>
        <v>0.677777777777778</v>
      </c>
      <c r="H345" s="0" t="str">
        <f aca="false">IF(E345&gt;F345,"Exceedance",IF(E345&gt;=F345*0.9,"Watch","Compliant"))</f>
        <v>Compliant</v>
      </c>
    </row>
    <row r="346" customFormat="false" ht="15" hidden="false" customHeight="false" outlineLevel="0" collapsed="false">
      <c r="A346" s="0" t="str">
        <f aca="false">'Raw Data'!C346</f>
        <v>2025-08</v>
      </c>
      <c r="B346" s="0" t="str">
        <f aca="false">'Raw Data'!D346</f>
        <v>Hope Street (kerbside)</v>
      </c>
      <c r="C346" s="0" t="str">
        <f aca="false">'Raw Data'!E346</f>
        <v>City Centre</v>
      </c>
      <c r="D346" s="0" t="str">
        <f aca="false">'Raw Data'!F346</f>
        <v>NO2</v>
      </c>
      <c r="E346" s="6" t="n">
        <f aca="false">'Raw Data'!H346</f>
        <v>27.5</v>
      </c>
      <c r="F346" s="7" t="n">
        <f aca="false">IF(D346="NO2",40,18)</f>
        <v>40</v>
      </c>
      <c r="G346" s="8" t="n">
        <f aca="false">E346/F346</f>
        <v>0.6875</v>
      </c>
      <c r="H346" s="0" t="str">
        <f aca="false">IF(E346&gt;F346,"Exceedance",IF(E346&gt;=F346*0.9,"Watch","Compliant"))</f>
        <v>Compliant</v>
      </c>
    </row>
    <row r="347" customFormat="false" ht="15" hidden="false" customHeight="false" outlineLevel="0" collapsed="false">
      <c r="A347" s="0" t="str">
        <f aca="false">'Raw Data'!C347</f>
        <v>2025-08</v>
      </c>
      <c r="B347" s="0" t="str">
        <f aca="false">'Raw Data'!D347</f>
        <v>North Street</v>
      </c>
      <c r="C347" s="0" t="str">
        <f aca="false">'Raw Data'!E347</f>
        <v>City Centre</v>
      </c>
      <c r="D347" s="0" t="str">
        <f aca="false">'Raw Data'!F347</f>
        <v>NO2</v>
      </c>
      <c r="E347" s="6" t="n">
        <f aca="false">'Raw Data'!H347</f>
        <v>26.1</v>
      </c>
      <c r="F347" s="7" t="n">
        <f aca="false">IF(D347="NO2",40,18)</f>
        <v>40</v>
      </c>
      <c r="G347" s="8" t="n">
        <f aca="false">E347/F347</f>
        <v>0.6525</v>
      </c>
      <c r="H347" s="0" t="str">
        <f aca="false">IF(E347&gt;F347,"Exceedance",IF(E347&gt;=F347*0.9,"Watch","Compliant"))</f>
        <v>Compliant</v>
      </c>
    </row>
    <row r="348" customFormat="false" ht="15" hidden="false" customHeight="false" outlineLevel="0" collapsed="false">
      <c r="A348" s="0" t="str">
        <f aca="false">'Raw Data'!C348</f>
        <v>2025-08</v>
      </c>
      <c r="B348" s="0" t="str">
        <f aca="false">'Raw Data'!D348</f>
        <v>Royston Road</v>
      </c>
      <c r="C348" s="0" t="str">
        <f aca="false">'Raw Data'!E348</f>
        <v>City Centre</v>
      </c>
      <c r="D348" s="0" t="str">
        <f aca="false">'Raw Data'!F348</f>
        <v>NO2</v>
      </c>
      <c r="E348" s="6" t="n">
        <f aca="false">'Raw Data'!H348</f>
        <v>22.6</v>
      </c>
      <c r="F348" s="7" t="n">
        <f aca="false">IF(D348="NO2",40,18)</f>
        <v>40</v>
      </c>
      <c r="G348" s="8" t="n">
        <f aca="false">E348/F348</f>
        <v>0.565</v>
      </c>
      <c r="H348" s="0" t="str">
        <f aca="false">IF(E348&gt;F348,"Exceedance",IF(E348&gt;=F348*0.9,"Watch","Compliant"))</f>
        <v>Compliant</v>
      </c>
    </row>
    <row r="349" customFormat="false" ht="15" hidden="false" customHeight="false" outlineLevel="0" collapsed="false">
      <c r="A349" s="0" t="str">
        <f aca="false">'Raw Data'!C349</f>
        <v>2025-08</v>
      </c>
      <c r="B349" s="0" t="str">
        <f aca="false">'Raw Data'!D349</f>
        <v>Dumbarton Road</v>
      </c>
      <c r="C349" s="0" t="str">
        <f aca="false">'Raw Data'!E349</f>
        <v>Byres Road/Dumbarton Road</v>
      </c>
      <c r="D349" s="0" t="str">
        <f aca="false">'Raw Data'!F349</f>
        <v>NO2</v>
      </c>
      <c r="E349" s="6" t="n">
        <f aca="false">'Raw Data'!H349</f>
        <v>23.9</v>
      </c>
      <c r="F349" s="7" t="n">
        <f aca="false">IF(D349="NO2",40,18)</f>
        <v>40</v>
      </c>
      <c r="G349" s="8" t="n">
        <f aca="false">E349/F349</f>
        <v>0.5975</v>
      </c>
      <c r="H349" s="0" t="str">
        <f aca="false">IF(E349&gt;F349,"Exceedance",IF(E349&gt;=F349*0.9,"Watch","Compliant"))</f>
        <v>Compliant</v>
      </c>
    </row>
    <row r="350" customFormat="false" ht="15" hidden="false" customHeight="false" outlineLevel="0" collapsed="false">
      <c r="A350" s="0" t="str">
        <f aca="false">'Raw Data'!C350</f>
        <v>2025-08</v>
      </c>
      <c r="B350" s="0" t="str">
        <f aca="false">'Raw Data'!D350</f>
        <v>Byres Road</v>
      </c>
      <c r="C350" s="0" t="str">
        <f aca="false">'Raw Data'!E350</f>
        <v>Byres Road/Dumbarton Road</v>
      </c>
      <c r="D350" s="0" t="str">
        <f aca="false">'Raw Data'!F350</f>
        <v>NO2</v>
      </c>
      <c r="E350" s="6" t="n">
        <f aca="false">'Raw Data'!H350</f>
        <v>22</v>
      </c>
      <c r="F350" s="7" t="n">
        <f aca="false">IF(D350="NO2",40,18)</f>
        <v>40</v>
      </c>
      <c r="G350" s="8" t="n">
        <f aca="false">E350/F350</f>
        <v>0.55</v>
      </c>
      <c r="H350" s="0" t="str">
        <f aca="false">IF(E350&gt;F350,"Exceedance",IF(E350&gt;=F350*0.9,"Watch","Compliant"))</f>
        <v>Compliant</v>
      </c>
    </row>
    <row r="351" customFormat="false" ht="15" hidden="false" customHeight="false" outlineLevel="0" collapsed="false">
      <c r="A351" s="0" t="str">
        <f aca="false">'Raw Data'!C351</f>
        <v>2025-08</v>
      </c>
      <c r="B351" s="0" t="str">
        <f aca="false">'Raw Data'!D351</f>
        <v>Parkhead Cross</v>
      </c>
      <c r="C351" s="0" t="str">
        <f aca="false">'Raw Data'!E351</f>
        <v>Parkhead Cross</v>
      </c>
      <c r="D351" s="0" t="str">
        <f aca="false">'Raw Data'!F351</f>
        <v>NO2</v>
      </c>
      <c r="E351" s="6" t="n">
        <f aca="false">'Raw Data'!H351</f>
        <v>23.5</v>
      </c>
      <c r="F351" s="7" t="n">
        <f aca="false">IF(D351="NO2",40,18)</f>
        <v>40</v>
      </c>
      <c r="G351" s="8" t="n">
        <f aca="false">E351/F351</f>
        <v>0.5875</v>
      </c>
      <c r="H351" s="0" t="str">
        <f aca="false">IF(E351&gt;F351,"Exceedance",IF(E351&gt;=F351*0.9,"Watch","Compliant"))</f>
        <v>Compliant</v>
      </c>
    </row>
    <row r="352" customFormat="false" ht="15" hidden="false" customHeight="false" outlineLevel="0" collapsed="false">
      <c r="A352" s="0" t="str">
        <f aca="false">'Raw Data'!C352</f>
        <v>2025-08</v>
      </c>
      <c r="B352" s="0" t="str">
        <f aca="false">'Raw Data'!D352</f>
        <v>Hope Street (kerbside)</v>
      </c>
      <c r="C352" s="0" t="str">
        <f aca="false">'Raw Data'!E352</f>
        <v>City Centre</v>
      </c>
      <c r="D352" s="0" t="str">
        <f aca="false">'Raw Data'!F352</f>
        <v>PM10</v>
      </c>
      <c r="E352" s="6" t="n">
        <f aca="false">'Raw Data'!H352</f>
        <v>14.5</v>
      </c>
      <c r="F352" s="7" t="n">
        <f aca="false">IF(D352="NO2",40,18)</f>
        <v>18</v>
      </c>
      <c r="G352" s="8" t="n">
        <f aca="false">E352/F352</f>
        <v>0.805555555555556</v>
      </c>
      <c r="H352" s="0" t="str">
        <f aca="false">IF(E352&gt;F352,"Exceedance",IF(E352&gt;=F352*0.9,"Watch","Compliant"))</f>
        <v>Compliant</v>
      </c>
    </row>
    <row r="353" customFormat="false" ht="15" hidden="false" customHeight="false" outlineLevel="0" collapsed="false">
      <c r="A353" s="0" t="str">
        <f aca="false">'Raw Data'!C353</f>
        <v>2025-08</v>
      </c>
      <c r="B353" s="0" t="str">
        <f aca="false">'Raw Data'!D353</f>
        <v>Townhead</v>
      </c>
      <c r="C353" s="0" t="str">
        <f aca="false">'Raw Data'!E353</f>
        <v>City Centre</v>
      </c>
      <c r="D353" s="0" t="str">
        <f aca="false">'Raw Data'!F353</f>
        <v>PM10</v>
      </c>
      <c r="E353" s="6" t="n">
        <f aca="false">'Raw Data'!H353</f>
        <v>12.2</v>
      </c>
      <c r="F353" s="7" t="n">
        <f aca="false">IF(D353="NO2",40,18)</f>
        <v>18</v>
      </c>
      <c r="G353" s="8" t="n">
        <f aca="false">E353/F353</f>
        <v>0.677777777777778</v>
      </c>
      <c r="H353" s="0" t="str">
        <f aca="false">IF(E353&gt;F353,"Exceedance",IF(E353&gt;=F353*0.9,"Watch","Compliant"))</f>
        <v>Compliant</v>
      </c>
    </row>
    <row r="354" customFormat="false" ht="15" hidden="false" customHeight="false" outlineLevel="0" collapsed="false">
      <c r="A354" s="0" t="str">
        <f aca="false">'Raw Data'!C354</f>
        <v>2025-09</v>
      </c>
      <c r="B354" s="0" t="str">
        <f aca="false">'Raw Data'!D354</f>
        <v>Hope Street (kerbside)</v>
      </c>
      <c r="C354" s="0" t="str">
        <f aca="false">'Raw Data'!E354</f>
        <v>City Centre</v>
      </c>
      <c r="D354" s="0" t="str">
        <f aca="false">'Raw Data'!F354</f>
        <v>NO2</v>
      </c>
      <c r="E354" s="6" t="n">
        <f aca="false">'Raw Data'!H354</f>
        <v>31.7</v>
      </c>
      <c r="F354" s="7" t="n">
        <f aca="false">IF(D354="NO2",40,18)</f>
        <v>40</v>
      </c>
      <c r="G354" s="8" t="n">
        <f aca="false">E354/F354</f>
        <v>0.7925</v>
      </c>
      <c r="H354" s="0" t="str">
        <f aca="false">IF(E354&gt;F354,"Exceedance",IF(E354&gt;=F354*0.9,"Watch","Compliant"))</f>
        <v>Compliant</v>
      </c>
    </row>
    <row r="355" customFormat="false" ht="15" hidden="false" customHeight="false" outlineLevel="0" collapsed="false">
      <c r="A355" s="0" t="str">
        <f aca="false">'Raw Data'!C355</f>
        <v>2025-09</v>
      </c>
      <c r="B355" s="0" t="str">
        <f aca="false">'Raw Data'!D355</f>
        <v>North Street</v>
      </c>
      <c r="C355" s="0" t="str">
        <f aca="false">'Raw Data'!E355</f>
        <v>City Centre</v>
      </c>
      <c r="D355" s="0" t="str">
        <f aca="false">'Raw Data'!F355</f>
        <v>NO2</v>
      </c>
      <c r="E355" s="6" t="n">
        <f aca="false">'Raw Data'!H355</f>
        <v>26.9</v>
      </c>
      <c r="F355" s="7" t="n">
        <f aca="false">IF(D355="NO2",40,18)</f>
        <v>40</v>
      </c>
      <c r="G355" s="8" t="n">
        <f aca="false">E355/F355</f>
        <v>0.6725</v>
      </c>
      <c r="H355" s="0" t="str">
        <f aca="false">IF(E355&gt;F355,"Exceedance",IF(E355&gt;=F355*0.9,"Watch","Compliant"))</f>
        <v>Compliant</v>
      </c>
    </row>
    <row r="356" customFormat="false" ht="15" hidden="false" customHeight="false" outlineLevel="0" collapsed="false">
      <c r="A356" s="0" t="str">
        <f aca="false">'Raw Data'!C356</f>
        <v>2025-09</v>
      </c>
      <c r="B356" s="0" t="str">
        <f aca="false">'Raw Data'!D356</f>
        <v>Royston Road</v>
      </c>
      <c r="C356" s="0" t="str">
        <f aca="false">'Raw Data'!E356</f>
        <v>City Centre</v>
      </c>
      <c r="D356" s="0" t="str">
        <f aca="false">'Raw Data'!F356</f>
        <v>NO2</v>
      </c>
      <c r="E356" s="6" t="n">
        <f aca="false">'Raw Data'!H356</f>
        <v>24.7</v>
      </c>
      <c r="F356" s="7" t="n">
        <f aca="false">IF(D356="NO2",40,18)</f>
        <v>40</v>
      </c>
      <c r="G356" s="8" t="n">
        <f aca="false">E356/F356</f>
        <v>0.6175</v>
      </c>
      <c r="H356" s="0" t="str">
        <f aca="false">IF(E356&gt;F356,"Exceedance",IF(E356&gt;=F356*0.9,"Watch","Compliant"))</f>
        <v>Compliant</v>
      </c>
    </row>
    <row r="357" customFormat="false" ht="15" hidden="false" customHeight="false" outlineLevel="0" collapsed="false">
      <c r="A357" s="0" t="str">
        <f aca="false">'Raw Data'!C357</f>
        <v>2025-09</v>
      </c>
      <c r="B357" s="0" t="str">
        <f aca="false">'Raw Data'!D357</f>
        <v>Dumbarton Road</v>
      </c>
      <c r="C357" s="0" t="str">
        <f aca="false">'Raw Data'!E357</f>
        <v>Byres Road/Dumbarton Road</v>
      </c>
      <c r="D357" s="0" t="str">
        <f aca="false">'Raw Data'!F357</f>
        <v>NO2</v>
      </c>
      <c r="E357" s="6" t="n">
        <f aca="false">'Raw Data'!H357</f>
        <v>25.4</v>
      </c>
      <c r="F357" s="7" t="n">
        <f aca="false">IF(D357="NO2",40,18)</f>
        <v>40</v>
      </c>
      <c r="G357" s="8" t="n">
        <f aca="false">E357/F357</f>
        <v>0.635</v>
      </c>
      <c r="H357" s="0" t="str">
        <f aca="false">IF(E357&gt;F357,"Exceedance",IF(E357&gt;=F357*0.9,"Watch","Compliant"))</f>
        <v>Compliant</v>
      </c>
    </row>
    <row r="358" customFormat="false" ht="15" hidden="false" customHeight="false" outlineLevel="0" collapsed="false">
      <c r="A358" s="0" t="str">
        <f aca="false">'Raw Data'!C358</f>
        <v>2025-09</v>
      </c>
      <c r="B358" s="0" t="str">
        <f aca="false">'Raw Data'!D358</f>
        <v>Byres Road</v>
      </c>
      <c r="C358" s="0" t="str">
        <f aca="false">'Raw Data'!E358</f>
        <v>Byres Road/Dumbarton Road</v>
      </c>
      <c r="D358" s="0" t="str">
        <f aca="false">'Raw Data'!F358</f>
        <v>NO2</v>
      </c>
      <c r="E358" s="6" t="n">
        <f aca="false">'Raw Data'!H358</f>
        <v>23.2</v>
      </c>
      <c r="F358" s="7" t="n">
        <f aca="false">IF(D358="NO2",40,18)</f>
        <v>40</v>
      </c>
      <c r="G358" s="8" t="n">
        <f aca="false">E358/F358</f>
        <v>0.58</v>
      </c>
      <c r="H358" s="0" t="str">
        <f aca="false">IF(E358&gt;F358,"Exceedance",IF(E358&gt;=F358*0.9,"Watch","Compliant"))</f>
        <v>Compliant</v>
      </c>
    </row>
    <row r="359" customFormat="false" ht="15" hidden="false" customHeight="false" outlineLevel="0" collapsed="false">
      <c r="A359" s="0" t="str">
        <f aca="false">'Raw Data'!C359</f>
        <v>2025-09</v>
      </c>
      <c r="B359" s="0" t="str">
        <f aca="false">'Raw Data'!D359</f>
        <v>Parkhead Cross</v>
      </c>
      <c r="C359" s="0" t="str">
        <f aca="false">'Raw Data'!E359</f>
        <v>Parkhead Cross</v>
      </c>
      <c r="D359" s="0" t="str">
        <f aca="false">'Raw Data'!F359</f>
        <v>NO2</v>
      </c>
      <c r="E359" s="6" t="n">
        <f aca="false">'Raw Data'!H359</f>
        <v>24</v>
      </c>
      <c r="F359" s="7" t="n">
        <f aca="false">IF(D359="NO2",40,18)</f>
        <v>40</v>
      </c>
      <c r="G359" s="8" t="n">
        <f aca="false">E359/F359</f>
        <v>0.6</v>
      </c>
      <c r="H359" s="0" t="str">
        <f aca="false">IF(E359&gt;F359,"Exceedance",IF(E359&gt;=F359*0.9,"Watch","Compliant"))</f>
        <v>Compliant</v>
      </c>
    </row>
    <row r="360" customFormat="false" ht="15" hidden="false" customHeight="false" outlineLevel="0" collapsed="false">
      <c r="A360" s="0" t="str">
        <f aca="false">'Raw Data'!C360</f>
        <v>2025-09</v>
      </c>
      <c r="B360" s="0" t="str">
        <f aca="false">'Raw Data'!D360</f>
        <v>Hope Street (kerbside)</v>
      </c>
      <c r="C360" s="0" t="str">
        <f aca="false">'Raw Data'!E360</f>
        <v>City Centre</v>
      </c>
      <c r="D360" s="0" t="str">
        <f aca="false">'Raw Data'!F360</f>
        <v>PM10</v>
      </c>
      <c r="E360" s="6" t="n">
        <f aca="false">'Raw Data'!H360</f>
        <v>15.4</v>
      </c>
      <c r="F360" s="7" t="n">
        <f aca="false">IF(D360="NO2",40,18)</f>
        <v>18</v>
      </c>
      <c r="G360" s="8" t="n">
        <f aca="false">E360/F360</f>
        <v>0.855555555555556</v>
      </c>
      <c r="H360" s="0" t="str">
        <f aca="false">IF(E360&gt;F360,"Exceedance",IF(E360&gt;=F360*0.9,"Watch","Compliant"))</f>
        <v>Compliant</v>
      </c>
    </row>
    <row r="361" customFormat="false" ht="15" hidden="false" customHeight="false" outlineLevel="0" collapsed="false">
      <c r="A361" s="0" t="str">
        <f aca="false">'Raw Data'!C361</f>
        <v>2025-09</v>
      </c>
      <c r="B361" s="0" t="str">
        <f aca="false">'Raw Data'!D361</f>
        <v>Townhead</v>
      </c>
      <c r="C361" s="0" t="str">
        <f aca="false">'Raw Data'!E361</f>
        <v>City Centre</v>
      </c>
      <c r="D361" s="0" t="str">
        <f aca="false">'Raw Data'!F361</f>
        <v>PM10</v>
      </c>
      <c r="E361" s="6" t="n">
        <f aca="false">'Raw Data'!H361</f>
        <v>12.7</v>
      </c>
      <c r="F361" s="7" t="n">
        <f aca="false">IF(D361="NO2",40,18)</f>
        <v>18</v>
      </c>
      <c r="G361" s="8" t="n">
        <f aca="false">E361/F361</f>
        <v>0.705555555555556</v>
      </c>
      <c r="H361" s="0" t="str">
        <f aca="false">IF(E361&gt;F361,"Exceedance",IF(E361&gt;=F361*0.9,"Watch","Compliant"))</f>
        <v>Compliant</v>
      </c>
    </row>
  </sheetData>
  <autoFilter ref="A1:H361"/>
  <conditionalFormatting sqref="H2:H361">
    <cfRule type="cellIs" priority="2" operator="equal" aboveAverage="0" equalAverage="0" bottom="0" percent="0" rank="0" text="" dxfId="7">
      <formula>"Exceedance"</formula>
    </cfRule>
    <cfRule type="cellIs" priority="3" operator="equal" aboveAverage="0" equalAverage="0" bottom="0" percent="0" rank="0" text="" dxfId="8">
      <formula>"Watch"</formula>
    </cfRule>
    <cfRule type="cellIs" priority="4" operator="equal" aboveAverage="0" equalAverage="0" bottom="0" percent="0" rank="0" text="" dxfId="9">
      <formula>"Compliant"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9" style="0" width="34"/>
    <col collapsed="false" customWidth="true" hidden="false" outlineLevel="0" max="10" min="10" style="0" width="4"/>
    <col collapsed="false" customWidth="true" hidden="false" outlineLevel="0" max="11" min="11" style="0" width="12"/>
  </cols>
  <sheetData>
    <row r="2" customFormat="false" ht="19.7" hidden="false" customHeight="false" outlineLevel="0" collapsed="false">
      <c r="B2" s="1" t="s">
        <v>102</v>
      </c>
    </row>
    <row r="4" customFormat="false" ht="15" hidden="false" customHeight="false" outlineLevel="0" collapsed="false">
      <c r="B4" s="5" t="s">
        <v>35</v>
      </c>
      <c r="C4" s="5" t="s">
        <v>37</v>
      </c>
      <c r="D4" s="5" t="s">
        <v>32</v>
      </c>
      <c r="E4" s="5" t="s">
        <v>103</v>
      </c>
      <c r="F4" s="5" t="s">
        <v>104</v>
      </c>
      <c r="G4" s="5" t="s">
        <v>105</v>
      </c>
      <c r="I4" s="3" t="s">
        <v>106</v>
      </c>
      <c r="K4" s="4"/>
    </row>
    <row r="5" customFormat="false" ht="15" hidden="false" customHeight="false" outlineLevel="0" collapsed="false">
      <c r="B5" s="0" t="s">
        <v>51</v>
      </c>
      <c r="C5" s="0" t="s">
        <v>44</v>
      </c>
      <c r="D5" s="0" t="n">
        <v>2022</v>
      </c>
      <c r="E5" s="6" t="n">
        <f aca="false">AVERAGEIFS('Raw Data'!H2:H361,'Raw Data'!D2:D361,B5,'Raw Data'!F2:F361,C5,'Raw Data'!A2:A361,D5)</f>
        <v>39.65</v>
      </c>
      <c r="F5" s="0" t="n">
        <f aca="false">IF(C5="NO2",40,18)</f>
        <v>40</v>
      </c>
      <c r="G5" s="0" t="str">
        <f aca="false">IF(E5&lt;=F5,"Yes","No")</f>
        <v>Yes</v>
      </c>
      <c r="I5" s="3" t="s">
        <v>107</v>
      </c>
      <c r="K5" s="4" t="n">
        <f aca="false">COUNTIFS(C5:C36,"NO2",E5:E36,"&gt;"&amp;40,D5:D36,2024)</f>
        <v>0</v>
      </c>
    </row>
    <row r="6" customFormat="false" ht="15" hidden="false" customHeight="false" outlineLevel="0" collapsed="false">
      <c r="B6" s="0" t="s">
        <v>51</v>
      </c>
      <c r="C6" s="0" t="s">
        <v>44</v>
      </c>
      <c r="D6" s="0" t="n">
        <v>2023</v>
      </c>
      <c r="E6" s="6" t="n">
        <f aca="false">AVERAGEIFS('Raw Data'!H2:H361,'Raw Data'!D2:D361,B6,'Raw Data'!F2:F361,C6,'Raw Data'!A2:A361,D6)</f>
        <v>36.9083333333333</v>
      </c>
      <c r="F6" s="0" t="n">
        <f aca="false">IF(C6="NO2",40,18)</f>
        <v>40</v>
      </c>
      <c r="G6" s="0" t="str">
        <f aca="false">IF(E6&lt;=F6,"Yes","No")</f>
        <v>Yes</v>
      </c>
      <c r="I6" s="3" t="s">
        <v>108</v>
      </c>
      <c r="K6" s="4" t="n">
        <f aca="false">COUNTIFS(C5:C36,"NO2",E5:E36,"&gt;"&amp;40,D5:D36,2022)</f>
        <v>5</v>
      </c>
    </row>
    <row r="7" customFormat="false" ht="15" hidden="false" customHeight="false" outlineLevel="0" collapsed="false">
      <c r="B7" s="0" t="s">
        <v>51</v>
      </c>
      <c r="C7" s="0" t="s">
        <v>44</v>
      </c>
      <c r="D7" s="0" t="n">
        <v>2024</v>
      </c>
      <c r="E7" s="6" t="n">
        <f aca="false">AVERAGEIFS('Raw Data'!H2:H361,'Raw Data'!D2:D361,B7,'Raw Data'!F2:F361,C7,'Raw Data'!A2:A361,D7)</f>
        <v>26.2166666666667</v>
      </c>
      <c r="F7" s="0" t="n">
        <f aca="false">IF(C7="NO2",40,18)</f>
        <v>40</v>
      </c>
      <c r="G7" s="0" t="str">
        <f aca="false">IF(E7&lt;=F7,"Yes","No")</f>
        <v>Yes</v>
      </c>
      <c r="I7" s="3" t="s">
        <v>109</v>
      </c>
      <c r="K7" s="9" t="n">
        <f aca="false">AVERAGEIFS(E5:E36,B5:B36,"Hope Street (kerbside)",C5:C36,"NO2",D5:D36,2022)</f>
        <v>52.9666666666667</v>
      </c>
    </row>
    <row r="8" customFormat="false" ht="15" hidden="false" customHeight="false" outlineLevel="0" collapsed="false">
      <c r="B8" s="0" t="s">
        <v>51</v>
      </c>
      <c r="C8" s="0" t="s">
        <v>44</v>
      </c>
      <c r="D8" s="0" t="n">
        <v>2025</v>
      </c>
      <c r="E8" s="6" t="n">
        <f aca="false">AVERAGEIFS('Raw Data'!H2:H361,'Raw Data'!D2:D361,B8,'Raw Data'!F2:F361,C8,'Raw Data'!A2:A361,D8)</f>
        <v>23.9777777777778</v>
      </c>
      <c r="F8" s="0" t="n">
        <f aca="false">IF(C8="NO2",40,18)</f>
        <v>40</v>
      </c>
      <c r="G8" s="0" t="str">
        <f aca="false">IF(E8&lt;=F8,"Yes","No")</f>
        <v>Yes</v>
      </c>
      <c r="I8" s="3" t="s">
        <v>110</v>
      </c>
      <c r="K8" s="9" t="n">
        <f aca="false">AVERAGEIFS(E5:E36,B5:B36,"Hope Street (kerbside)",C5:C36,"NO2",D5:D36,2024)</f>
        <v>35.0083333333333</v>
      </c>
    </row>
    <row r="9" customFormat="false" ht="15" hidden="false" customHeight="false" outlineLevel="0" collapsed="false">
      <c r="B9" s="0" t="s">
        <v>49</v>
      </c>
      <c r="C9" s="0" t="s">
        <v>44</v>
      </c>
      <c r="D9" s="0" t="n">
        <v>2022</v>
      </c>
      <c r="E9" s="6" t="n">
        <f aca="false">AVERAGEIFS('Raw Data'!H2:H361,'Raw Data'!D2:D361,B9,'Raw Data'!F2:F361,C9,'Raw Data'!A2:A361,D9)</f>
        <v>43.7166666666667</v>
      </c>
      <c r="F9" s="0" t="n">
        <f aca="false">IF(C9="NO2",40,18)</f>
        <v>40</v>
      </c>
      <c r="G9" s="0" t="str">
        <f aca="false">IF(E9&lt;=F9,"Yes","No")</f>
        <v>No</v>
      </c>
      <c r="I9" s="3" t="s">
        <v>111</v>
      </c>
      <c r="K9" s="10" t="n">
        <f aca="false">(K7-K8)/K7</f>
        <v>0.339049716803021</v>
      </c>
    </row>
    <row r="10" customFormat="false" ht="15" hidden="false" customHeight="false" outlineLevel="0" collapsed="false">
      <c r="B10" s="0" t="s">
        <v>49</v>
      </c>
      <c r="C10" s="0" t="s">
        <v>44</v>
      </c>
      <c r="D10" s="0" t="n">
        <v>2023</v>
      </c>
      <c r="E10" s="6" t="n">
        <f aca="false">AVERAGEIFS('Raw Data'!H2:H361,'Raw Data'!D2:D361,B10,'Raw Data'!F2:F361,C10,'Raw Data'!A2:A361,D10)</f>
        <v>39.925</v>
      </c>
      <c r="F10" s="0" t="n">
        <f aca="false">IF(C10="NO2",40,18)</f>
        <v>40</v>
      </c>
      <c r="G10" s="0" t="str">
        <f aca="false">IF(E10&lt;=F10,"Yes","No")</f>
        <v>Yes</v>
      </c>
    </row>
    <row r="11" customFormat="false" ht="15" hidden="false" customHeight="false" outlineLevel="0" collapsed="false">
      <c r="B11" s="0" t="s">
        <v>49</v>
      </c>
      <c r="C11" s="0" t="s">
        <v>44</v>
      </c>
      <c r="D11" s="0" t="n">
        <v>2024</v>
      </c>
      <c r="E11" s="6" t="n">
        <f aca="false">AVERAGEIFS('Raw Data'!H2:H361,'Raw Data'!D2:D361,B11,'Raw Data'!F2:F361,C11,'Raw Data'!A2:A361,D11)</f>
        <v>29.125</v>
      </c>
      <c r="F11" s="0" t="n">
        <f aca="false">IF(C11="NO2",40,18)</f>
        <v>40</v>
      </c>
      <c r="G11" s="0" t="str">
        <f aca="false">IF(E11&lt;=F11,"Yes","No")</f>
        <v>Yes</v>
      </c>
    </row>
    <row r="12" customFormat="false" ht="15" hidden="false" customHeight="false" outlineLevel="0" collapsed="false">
      <c r="B12" s="0" t="s">
        <v>49</v>
      </c>
      <c r="C12" s="0" t="s">
        <v>44</v>
      </c>
      <c r="D12" s="0" t="n">
        <v>2025</v>
      </c>
      <c r="E12" s="6" t="n">
        <f aca="false">AVERAGEIFS('Raw Data'!H2:H361,'Raw Data'!D2:D361,B12,'Raw Data'!F2:F361,C12,'Raw Data'!A2:A361,D12)</f>
        <v>26.3888888888889</v>
      </c>
      <c r="F12" s="0" t="n">
        <f aca="false">IF(C12="NO2",40,18)</f>
        <v>40</v>
      </c>
      <c r="G12" s="0" t="str">
        <f aca="false">IF(E12&lt;=F12,"Yes","No")</f>
        <v>Yes</v>
      </c>
    </row>
    <row r="13" customFormat="false" ht="15" hidden="false" customHeight="false" outlineLevel="0" collapsed="false">
      <c r="B13" s="0" t="s">
        <v>42</v>
      </c>
      <c r="C13" s="0" t="s">
        <v>44</v>
      </c>
      <c r="D13" s="0" t="n">
        <v>2022</v>
      </c>
      <c r="E13" s="6" t="n">
        <f aca="false">AVERAGEIFS('Raw Data'!H2:H361,'Raw Data'!D2:D361,B13,'Raw Data'!F2:F361,C13,'Raw Data'!A2:A361,D13)</f>
        <v>52.9666666666667</v>
      </c>
      <c r="F13" s="0" t="n">
        <f aca="false">IF(C13="NO2",40,18)</f>
        <v>40</v>
      </c>
      <c r="G13" s="0" t="str">
        <f aca="false">IF(E13&lt;=F13,"Yes","No")</f>
        <v>No</v>
      </c>
    </row>
    <row r="14" customFormat="false" ht="15" hidden="false" customHeight="false" outlineLevel="0" collapsed="false">
      <c r="B14" s="0" t="s">
        <v>42</v>
      </c>
      <c r="C14" s="0" t="s">
        <v>44</v>
      </c>
      <c r="D14" s="0" t="n">
        <v>2023</v>
      </c>
      <c r="E14" s="6" t="n">
        <f aca="false">AVERAGEIFS('Raw Data'!H2:H361,'Raw Data'!D2:D361,B14,'Raw Data'!F2:F361,C14,'Raw Data'!A2:A361,D14)</f>
        <v>49.3</v>
      </c>
      <c r="F14" s="0" t="n">
        <f aca="false">IF(C14="NO2",40,18)</f>
        <v>40</v>
      </c>
      <c r="G14" s="0" t="str">
        <f aca="false">IF(E14&lt;=F14,"Yes","No")</f>
        <v>No</v>
      </c>
    </row>
    <row r="15" customFormat="false" ht="15" hidden="false" customHeight="false" outlineLevel="0" collapsed="false">
      <c r="B15" s="0" t="s">
        <v>42</v>
      </c>
      <c r="C15" s="0" t="s">
        <v>44</v>
      </c>
      <c r="D15" s="0" t="n">
        <v>2024</v>
      </c>
      <c r="E15" s="6" t="n">
        <f aca="false">AVERAGEIFS('Raw Data'!H2:H361,'Raw Data'!D2:D361,B15,'Raw Data'!F2:F361,C15,'Raw Data'!A2:A361,D15)</f>
        <v>35.0083333333333</v>
      </c>
      <c r="F15" s="0" t="n">
        <f aca="false">IF(C15="NO2",40,18)</f>
        <v>40</v>
      </c>
      <c r="G15" s="0" t="str">
        <f aca="false">IF(E15&lt;=F15,"Yes","No")</f>
        <v>Yes</v>
      </c>
    </row>
    <row r="16" customFormat="false" ht="15" hidden="false" customHeight="false" outlineLevel="0" collapsed="false">
      <c r="B16" s="0" t="s">
        <v>42</v>
      </c>
      <c r="C16" s="0" t="s">
        <v>44</v>
      </c>
      <c r="D16" s="0" t="n">
        <v>2025</v>
      </c>
      <c r="E16" s="6" t="n">
        <f aca="false">AVERAGEIFS('Raw Data'!H2:H361,'Raw Data'!D2:D361,B16,'Raw Data'!F2:F361,C16,'Raw Data'!A2:A361,D16)</f>
        <v>31.9222222222222</v>
      </c>
      <c r="F16" s="0" t="n">
        <f aca="false">IF(C16="NO2",40,18)</f>
        <v>40</v>
      </c>
      <c r="G16" s="0" t="str">
        <f aca="false">IF(E16&lt;=F16,"Yes","No")</f>
        <v>Yes</v>
      </c>
    </row>
    <row r="17" customFormat="false" ht="15" hidden="false" customHeight="false" outlineLevel="0" collapsed="false">
      <c r="B17" s="0" t="s">
        <v>46</v>
      </c>
      <c r="C17" s="0" t="s">
        <v>44</v>
      </c>
      <c r="D17" s="0" t="n">
        <v>2022</v>
      </c>
      <c r="E17" s="6" t="n">
        <f aca="false">AVERAGEIFS('Raw Data'!H2:H361,'Raw Data'!D2:D361,B17,'Raw Data'!F2:F361,C17,'Raw Data'!A2:A361,D17)</f>
        <v>46.4583333333333</v>
      </c>
      <c r="F17" s="0" t="n">
        <f aca="false">IF(C17="NO2",40,18)</f>
        <v>40</v>
      </c>
      <c r="G17" s="0" t="str">
        <f aca="false">IF(E17&lt;=F17,"Yes","No")</f>
        <v>No</v>
      </c>
    </row>
    <row r="18" customFormat="false" ht="15" hidden="false" customHeight="false" outlineLevel="0" collapsed="false">
      <c r="B18" s="0" t="s">
        <v>46</v>
      </c>
      <c r="C18" s="0" t="s">
        <v>44</v>
      </c>
      <c r="D18" s="0" t="n">
        <v>2023</v>
      </c>
      <c r="E18" s="6" t="n">
        <f aca="false">AVERAGEIFS('Raw Data'!H2:H361,'Raw Data'!D2:D361,B18,'Raw Data'!F2:F361,C18,'Raw Data'!A2:A361,D18)</f>
        <v>43.5416666666667</v>
      </c>
      <c r="F18" s="0" t="n">
        <f aca="false">IF(C18="NO2",40,18)</f>
        <v>40</v>
      </c>
      <c r="G18" s="0" t="str">
        <f aca="false">IF(E18&lt;=F18,"Yes","No")</f>
        <v>No</v>
      </c>
    </row>
    <row r="19" customFormat="false" ht="15" hidden="false" customHeight="false" outlineLevel="0" collapsed="false">
      <c r="B19" s="0" t="s">
        <v>46</v>
      </c>
      <c r="C19" s="0" t="s">
        <v>44</v>
      </c>
      <c r="D19" s="0" t="n">
        <v>2024</v>
      </c>
      <c r="E19" s="6" t="n">
        <f aca="false">AVERAGEIFS('Raw Data'!H2:H361,'Raw Data'!D2:D361,B19,'Raw Data'!F2:F361,C19,'Raw Data'!A2:A361,D19)</f>
        <v>31.3083333333333</v>
      </c>
      <c r="F19" s="0" t="n">
        <f aca="false">IF(C19="NO2",40,18)</f>
        <v>40</v>
      </c>
      <c r="G19" s="0" t="str">
        <f aca="false">IF(E19&lt;=F19,"Yes","No")</f>
        <v>Yes</v>
      </c>
    </row>
    <row r="20" customFormat="false" ht="15" hidden="false" customHeight="false" outlineLevel="0" collapsed="false">
      <c r="B20" s="0" t="s">
        <v>46</v>
      </c>
      <c r="C20" s="0" t="s">
        <v>44</v>
      </c>
      <c r="D20" s="0" t="n">
        <v>2025</v>
      </c>
      <c r="E20" s="6" t="n">
        <f aca="false">AVERAGEIFS('Raw Data'!H2:H361,'Raw Data'!D2:D361,B20,'Raw Data'!F2:F361,C20,'Raw Data'!A2:A361,D20)</f>
        <v>28</v>
      </c>
      <c r="F20" s="0" t="n">
        <f aca="false">IF(C20="NO2",40,18)</f>
        <v>40</v>
      </c>
      <c r="G20" s="0" t="str">
        <f aca="false">IF(E20&lt;=F20,"Yes","No")</f>
        <v>Yes</v>
      </c>
    </row>
    <row r="21" customFormat="false" ht="15" hidden="false" customHeight="false" outlineLevel="0" collapsed="false">
      <c r="B21" s="0" t="s">
        <v>52</v>
      </c>
      <c r="C21" s="0" t="s">
        <v>44</v>
      </c>
      <c r="D21" s="0" t="n">
        <v>2022</v>
      </c>
      <c r="E21" s="6" t="n">
        <f aca="false">AVERAGEIFS('Raw Data'!H2:H361,'Raw Data'!D2:D361,B21,'Raw Data'!F2:F361,C21,'Raw Data'!A2:A361,D21)</f>
        <v>43.2666666666667</v>
      </c>
      <c r="F21" s="0" t="n">
        <f aca="false">IF(C21="NO2",40,18)</f>
        <v>40</v>
      </c>
      <c r="G21" s="0" t="str">
        <f aca="false">IF(E21&lt;=F21,"Yes","No")</f>
        <v>No</v>
      </c>
    </row>
    <row r="22" customFormat="false" ht="15" hidden="false" customHeight="false" outlineLevel="0" collapsed="false">
      <c r="B22" s="0" t="s">
        <v>52</v>
      </c>
      <c r="C22" s="0" t="s">
        <v>44</v>
      </c>
      <c r="D22" s="0" t="n">
        <v>2023</v>
      </c>
      <c r="E22" s="6" t="n">
        <f aca="false">AVERAGEIFS('Raw Data'!H2:H361,'Raw Data'!D2:D361,B22,'Raw Data'!F2:F361,C22,'Raw Data'!A2:A361,D22)</f>
        <v>40.1416666666667</v>
      </c>
      <c r="F22" s="0" t="n">
        <f aca="false">IF(C22="NO2",40,18)</f>
        <v>40</v>
      </c>
      <c r="G22" s="0" t="str">
        <f aca="false">IF(E22&lt;=F22,"Yes","No")</f>
        <v>No</v>
      </c>
    </row>
    <row r="23" customFormat="false" ht="15" hidden="false" customHeight="false" outlineLevel="0" collapsed="false">
      <c r="B23" s="0" t="s">
        <v>52</v>
      </c>
      <c r="C23" s="0" t="s">
        <v>44</v>
      </c>
      <c r="D23" s="0" t="n">
        <v>2024</v>
      </c>
      <c r="E23" s="6" t="n">
        <f aca="false">AVERAGEIFS('Raw Data'!H2:H361,'Raw Data'!D2:D361,B23,'Raw Data'!F2:F361,C23,'Raw Data'!A2:A361,D23)</f>
        <v>28.3333333333333</v>
      </c>
      <c r="F23" s="0" t="n">
        <f aca="false">IF(C23="NO2",40,18)</f>
        <v>40</v>
      </c>
      <c r="G23" s="0" t="str">
        <f aca="false">IF(E23&lt;=F23,"Yes","No")</f>
        <v>Yes</v>
      </c>
    </row>
    <row r="24" customFormat="false" ht="15" hidden="false" customHeight="false" outlineLevel="0" collapsed="false">
      <c r="B24" s="0" t="s">
        <v>52</v>
      </c>
      <c r="C24" s="0" t="s">
        <v>44</v>
      </c>
      <c r="D24" s="0" t="n">
        <v>2025</v>
      </c>
      <c r="E24" s="6" t="n">
        <f aca="false">AVERAGEIFS('Raw Data'!H2:H361,'Raw Data'!D2:D361,B24,'Raw Data'!F2:F361,C24,'Raw Data'!A2:A361,D24)</f>
        <v>25.4222222222222</v>
      </c>
      <c r="F24" s="0" t="n">
        <f aca="false">IF(C24="NO2",40,18)</f>
        <v>40</v>
      </c>
      <c r="G24" s="0" t="str">
        <f aca="false">IF(E24&lt;=F24,"Yes","No")</f>
        <v>Yes</v>
      </c>
    </row>
    <row r="25" customFormat="false" ht="15" hidden="false" customHeight="false" outlineLevel="0" collapsed="false">
      <c r="B25" s="0" t="s">
        <v>48</v>
      </c>
      <c r="C25" s="0" t="s">
        <v>44</v>
      </c>
      <c r="D25" s="0" t="n">
        <v>2022</v>
      </c>
      <c r="E25" s="6" t="n">
        <f aca="false">AVERAGEIFS('Raw Data'!H2:H361,'Raw Data'!D2:D361,B25,'Raw Data'!F2:F361,C25,'Raw Data'!A2:A361,D25)</f>
        <v>41.1833333333333</v>
      </c>
      <c r="F25" s="0" t="n">
        <f aca="false">IF(C25="NO2",40,18)</f>
        <v>40</v>
      </c>
      <c r="G25" s="0" t="str">
        <f aca="false">IF(E25&lt;=F25,"Yes","No")</f>
        <v>No</v>
      </c>
    </row>
    <row r="26" customFormat="false" ht="15" hidden="false" customHeight="false" outlineLevel="0" collapsed="false">
      <c r="B26" s="0" t="s">
        <v>48</v>
      </c>
      <c r="C26" s="0" t="s">
        <v>44</v>
      </c>
      <c r="D26" s="0" t="n">
        <v>2023</v>
      </c>
      <c r="E26" s="6" t="n">
        <f aca="false">AVERAGEIFS('Raw Data'!H2:H361,'Raw Data'!D2:D361,B26,'Raw Data'!F2:F361,C26,'Raw Data'!A2:A361,D26)</f>
        <v>38.65</v>
      </c>
      <c r="F26" s="0" t="n">
        <f aca="false">IF(C26="NO2",40,18)</f>
        <v>40</v>
      </c>
      <c r="G26" s="0" t="str">
        <f aca="false">IF(E26&lt;=F26,"Yes","No")</f>
        <v>Yes</v>
      </c>
    </row>
    <row r="27" customFormat="false" ht="15" hidden="false" customHeight="false" outlineLevel="0" collapsed="false">
      <c r="B27" s="0" t="s">
        <v>48</v>
      </c>
      <c r="C27" s="0" t="s">
        <v>44</v>
      </c>
      <c r="D27" s="0" t="n">
        <v>2024</v>
      </c>
      <c r="E27" s="6" t="n">
        <f aca="false">AVERAGEIFS('Raw Data'!H2:H361,'Raw Data'!D2:D361,B27,'Raw Data'!F2:F361,C27,'Raw Data'!A2:A361,D27)</f>
        <v>27.45</v>
      </c>
      <c r="F27" s="0" t="n">
        <f aca="false">IF(C27="NO2",40,18)</f>
        <v>40</v>
      </c>
      <c r="G27" s="0" t="str">
        <f aca="false">IF(E27&lt;=F27,"Yes","No")</f>
        <v>Yes</v>
      </c>
    </row>
    <row r="28" customFormat="false" ht="15" hidden="false" customHeight="false" outlineLevel="0" collapsed="false">
      <c r="B28" s="0" t="s">
        <v>48</v>
      </c>
      <c r="C28" s="0" t="s">
        <v>44</v>
      </c>
      <c r="D28" s="0" t="n">
        <v>2025</v>
      </c>
      <c r="E28" s="6" t="n">
        <f aca="false">AVERAGEIFS('Raw Data'!H2:H361,'Raw Data'!D2:D361,B28,'Raw Data'!F2:F361,C28,'Raw Data'!A2:A361,D28)</f>
        <v>25.0333333333333</v>
      </c>
      <c r="F28" s="0" t="n">
        <f aca="false">IF(C28="NO2",40,18)</f>
        <v>40</v>
      </c>
      <c r="G28" s="0" t="str">
        <f aca="false">IF(E28&lt;=F28,"Yes","No")</f>
        <v>Yes</v>
      </c>
    </row>
    <row r="29" customFormat="false" ht="15" hidden="false" customHeight="false" outlineLevel="0" collapsed="false">
      <c r="B29" s="0" t="s">
        <v>42</v>
      </c>
      <c r="C29" s="0" t="s">
        <v>53</v>
      </c>
      <c r="D29" s="0" t="n">
        <v>2022</v>
      </c>
      <c r="E29" s="6" t="n">
        <f aca="false">AVERAGEIFS('Raw Data'!H2:H361,'Raw Data'!D2:D361,B29,'Raw Data'!F2:F361,C29,'Raw Data'!A2:A361,D29)</f>
        <v>19.275</v>
      </c>
      <c r="F29" s="0" t="n">
        <f aca="false">IF(C29="NO2",40,18)</f>
        <v>18</v>
      </c>
      <c r="G29" s="0" t="str">
        <f aca="false">IF(E29&lt;=F29,"Yes","No")</f>
        <v>No</v>
      </c>
    </row>
    <row r="30" customFormat="false" ht="15" hidden="false" customHeight="false" outlineLevel="0" collapsed="false">
      <c r="B30" s="0" t="s">
        <v>42</v>
      </c>
      <c r="C30" s="0" t="s">
        <v>53</v>
      </c>
      <c r="D30" s="0" t="n">
        <v>2023</v>
      </c>
      <c r="E30" s="6" t="n">
        <f aca="false">AVERAGEIFS('Raw Data'!H2:H361,'Raw Data'!D2:D361,B30,'Raw Data'!F2:F361,C30,'Raw Data'!A2:A361,D30)</f>
        <v>18.55</v>
      </c>
      <c r="F30" s="0" t="n">
        <f aca="false">IF(C30="NO2",40,18)</f>
        <v>18</v>
      </c>
      <c r="G30" s="0" t="str">
        <f aca="false">IF(E30&lt;=F30,"Yes","No")</f>
        <v>No</v>
      </c>
    </row>
    <row r="31" customFormat="false" ht="15" hidden="false" customHeight="false" outlineLevel="0" collapsed="false">
      <c r="B31" s="0" t="s">
        <v>42</v>
      </c>
      <c r="C31" s="0" t="s">
        <v>53</v>
      </c>
      <c r="D31" s="0" t="n">
        <v>2024</v>
      </c>
      <c r="E31" s="6" t="n">
        <f aca="false">AVERAGEIFS('Raw Data'!H2:H361,'Raw Data'!D2:D361,B31,'Raw Data'!F2:F361,C31,'Raw Data'!A2:A361,D31)</f>
        <v>17.3</v>
      </c>
      <c r="F31" s="0" t="n">
        <f aca="false">IF(C31="NO2",40,18)</f>
        <v>18</v>
      </c>
      <c r="G31" s="0" t="str">
        <f aca="false">IF(E31&lt;=F31,"Yes","No")</f>
        <v>Yes</v>
      </c>
    </row>
    <row r="32" customFormat="false" ht="15" hidden="false" customHeight="false" outlineLevel="0" collapsed="false">
      <c r="B32" s="0" t="s">
        <v>42</v>
      </c>
      <c r="C32" s="0" t="s">
        <v>53</v>
      </c>
      <c r="D32" s="0" t="n">
        <v>2025</v>
      </c>
      <c r="E32" s="6" t="n">
        <f aca="false">AVERAGEIFS('Raw Data'!H2:H361,'Raw Data'!D2:D361,B32,'Raw Data'!F2:F361,C32,'Raw Data'!A2:A361,D32)</f>
        <v>16.2111111111111</v>
      </c>
      <c r="F32" s="0" t="n">
        <f aca="false">IF(C32="NO2",40,18)</f>
        <v>18</v>
      </c>
      <c r="G32" s="0" t="str">
        <f aca="false">IF(E32&lt;=F32,"Yes","No")</f>
        <v>Yes</v>
      </c>
    </row>
    <row r="33" customFormat="false" ht="15" hidden="false" customHeight="false" outlineLevel="0" collapsed="false">
      <c r="B33" s="0" t="s">
        <v>54</v>
      </c>
      <c r="C33" s="0" t="s">
        <v>53</v>
      </c>
      <c r="D33" s="0" t="n">
        <v>2022</v>
      </c>
      <c r="E33" s="6" t="n">
        <f aca="false">AVERAGEIFS('Raw Data'!H2:H361,'Raw Data'!D2:D361,B33,'Raw Data'!F2:F361,C33,'Raw Data'!A2:A361,D33)</f>
        <v>16.2833333333333</v>
      </c>
      <c r="F33" s="0" t="n">
        <f aca="false">IF(C33="NO2",40,18)</f>
        <v>18</v>
      </c>
      <c r="G33" s="0" t="str">
        <f aca="false">IF(E33&lt;=F33,"Yes","No")</f>
        <v>Yes</v>
      </c>
    </row>
    <row r="34" customFormat="false" ht="15" hidden="false" customHeight="false" outlineLevel="0" collapsed="false">
      <c r="B34" s="0" t="s">
        <v>54</v>
      </c>
      <c r="C34" s="0" t="s">
        <v>53</v>
      </c>
      <c r="D34" s="0" t="n">
        <v>2023</v>
      </c>
      <c r="E34" s="6" t="n">
        <f aca="false">AVERAGEIFS('Raw Data'!H2:H361,'Raw Data'!D2:D361,B34,'Raw Data'!F2:F361,C34,'Raw Data'!A2:A361,D34)</f>
        <v>15.6583333333333</v>
      </c>
      <c r="F34" s="0" t="n">
        <f aca="false">IF(C34="NO2",40,18)</f>
        <v>18</v>
      </c>
      <c r="G34" s="0" t="str">
        <f aca="false">IF(E34&lt;=F34,"Yes","No")</f>
        <v>Yes</v>
      </c>
    </row>
    <row r="35" customFormat="false" ht="15" hidden="false" customHeight="false" outlineLevel="0" collapsed="false">
      <c r="B35" s="0" t="s">
        <v>54</v>
      </c>
      <c r="C35" s="0" t="s">
        <v>53</v>
      </c>
      <c r="D35" s="0" t="n">
        <v>2024</v>
      </c>
      <c r="E35" s="6" t="n">
        <f aca="false">AVERAGEIFS('Raw Data'!H2:H361,'Raw Data'!D2:D361,B35,'Raw Data'!F2:F361,C35,'Raw Data'!A2:A361,D35)</f>
        <v>14.6666666666667</v>
      </c>
      <c r="F35" s="0" t="n">
        <f aca="false">IF(C35="NO2",40,18)</f>
        <v>18</v>
      </c>
      <c r="G35" s="0" t="str">
        <f aca="false">IF(E35&lt;=F35,"Yes","No")</f>
        <v>Yes</v>
      </c>
    </row>
    <row r="36" customFormat="false" ht="15" hidden="false" customHeight="false" outlineLevel="0" collapsed="false">
      <c r="B36" s="0" t="s">
        <v>54</v>
      </c>
      <c r="C36" s="0" t="s">
        <v>53</v>
      </c>
      <c r="D36" s="0" t="n">
        <v>2025</v>
      </c>
      <c r="E36" s="6" t="n">
        <f aca="false">AVERAGEIFS('Raw Data'!H2:H361,'Raw Data'!D2:D361,B36,'Raw Data'!F2:F361,C36,'Raw Data'!A2:A361,D36)</f>
        <v>13.4888888888889</v>
      </c>
      <c r="F36" s="0" t="n">
        <f aca="false">IF(C36="NO2",40,18)</f>
        <v>18</v>
      </c>
      <c r="G36" s="0" t="str">
        <f aca="false">IF(E36&lt;=F36,"Yes","No")</f>
        <v>Yes</v>
      </c>
    </row>
  </sheetData>
  <conditionalFormatting sqref="G5:G36">
    <cfRule type="cellIs" priority="2" operator="equal" aboveAverage="0" equalAverage="0" bottom="0" percent="0" rank="0" text="" dxfId="9">
      <formula>"Yes"</formula>
    </cfRule>
    <cfRule type="cellIs" priority="3" operator="equal" aboveAverage="0" equalAverage="0" bottom="0" percent="0" rank="0" text="" dxfId="7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2026-06-07T12:00:49Z</dcterms:created>
  <dc:creator>openpyxl</dc:creator>
  <dc:description/>
  <dc:language>en-US</dc:language>
  <cp:lastModifiedBy/>
  <dcterms:modified xsi:type="dcterms:W3CDTF">2026-06-07T12:00:49Z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